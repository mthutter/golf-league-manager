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6/"/>
    </mc:Choice>
  </mc:AlternateContent>
  <xr:revisionPtr revIDLastSave="0" documentId="13_ncr:1_{A5C81B28-2073-0640-94F8-3810E7CD51F4}" xr6:coauthVersionLast="47" xr6:coauthVersionMax="47" xr10:uidLastSave="{00000000-0000-0000-0000-000000000000}"/>
  <bookViews>
    <workbookView xWindow="45540" yWindow="3380" windowWidth="31120" windowHeight="15920" xr2:uid="{1A9894EE-562E-3246-9111-2FABF9BD81D0}"/>
  </bookViews>
  <sheets>
    <sheet name="2026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M13" i="1"/>
  <c r="M14" i="1"/>
  <c r="M15" i="1"/>
  <c r="M16" i="1"/>
  <c r="M17" i="1"/>
  <c r="M18" i="1"/>
  <c r="L6" i="1" l="1"/>
  <c r="M6" i="1" s="1"/>
  <c r="L9" i="1"/>
  <c r="L7" i="1"/>
  <c r="M7" i="1" s="1"/>
  <c r="L5" i="1"/>
  <c r="M5" i="1" s="1"/>
  <c r="L8" i="1"/>
  <c r="M8" i="1" s="1"/>
  <c r="L11" i="1"/>
  <c r="M11" i="1" s="1"/>
  <c r="L10" i="1"/>
  <c r="M10" i="1" s="1"/>
  <c r="L14" i="1"/>
  <c r="L16" i="1"/>
  <c r="L17" i="1"/>
  <c r="L15" i="1"/>
  <c r="L19" i="1"/>
  <c r="L20" i="1"/>
  <c r="L21" i="1"/>
  <c r="L22" i="1"/>
  <c r="L18" i="1"/>
  <c r="L23" i="1"/>
  <c r="L24" i="1"/>
  <c r="L13" i="1"/>
  <c r="L25" i="1"/>
  <c r="L26" i="1"/>
  <c r="L27" i="1"/>
  <c r="L12" i="1"/>
  <c r="H13" i="1"/>
  <c r="H20" i="1"/>
  <c r="H21" i="1"/>
  <c r="H22" i="1"/>
  <c r="H18" i="1"/>
  <c r="H23" i="1"/>
  <c r="H24" i="1"/>
  <c r="H25" i="1"/>
  <c r="H26" i="1"/>
  <c r="H27" i="1"/>
  <c r="H12" i="1"/>
  <c r="L4" i="1"/>
  <c r="M4" i="1" s="1"/>
  <c r="H6" i="1"/>
  <c r="H9" i="1"/>
  <c r="H7" i="1"/>
  <c r="H5" i="1"/>
  <c r="H8" i="1"/>
  <c r="H11" i="1"/>
  <c r="H10" i="1"/>
  <c r="H14" i="1"/>
  <c r="H16" i="1"/>
  <c r="H17" i="1"/>
  <c r="H15" i="1"/>
  <c r="H19" i="1"/>
  <c r="H4" i="1"/>
  <c r="F28" i="1"/>
  <c r="D28" i="1"/>
  <c r="M9" i="1"/>
</calcChain>
</file>

<file path=xl/sharedStrings.xml><?xml version="1.0" encoding="utf-8"?>
<sst xmlns="http://schemas.openxmlformats.org/spreadsheetml/2006/main" count="69" uniqueCount="55">
  <si>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</si>
  <si>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</si>
  <si>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</si>
  <si>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</si>
  <si>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</si>
  <si>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</si>
  <si>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</si>
  <si>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</si>
  <si>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</si>
  <si>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</si>
  <si>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</si>
  <si>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</si>
  <si>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</si>
  <si>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</si>
  <si>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</si>
  <si>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</si>
  <si>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</si>
  <si>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</si>
  <si>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</si>
  <si>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</si>
  <si>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</si>
  <si>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</si>
  <si>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</si>
  <si>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</si>
  <si>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</si>
  <si>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</si>
  <si>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</si>
  <si>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</si>
  <si>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</si>
  <si>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</si>
  <si>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</si>
  <si>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</si>
  <si>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</si>
  <si>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</si>
  <si>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</si>
  <si>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</si>
  <si>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</si>
  <si>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</si>
  <si>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</si>
  <si>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</si>
  <si>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</si>
  <si>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Aaron</t>
  </si>
  <si>
    <t>Johnson</t>
  </si>
  <si>
    <t>Ra</t>
  </si>
  <si>
    <t>9-HOLE 
HANDICAP (from 2025)</t>
  </si>
  <si>
    <t>FIRST HALF (11 Rounds)</t>
  </si>
  <si>
    <t>Jim</t>
  </si>
  <si>
    <t>Northamer</t>
  </si>
  <si>
    <t>Perry</t>
  </si>
  <si>
    <t>Dvorak</t>
  </si>
  <si>
    <t>Mario</t>
  </si>
  <si>
    <t>Pineda</t>
  </si>
  <si>
    <t>WEEK 2</t>
  </si>
  <si>
    <t>Mollie</t>
  </si>
  <si>
    <t>Parker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</si>
</sst>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scheme val="minor"/>
    </font>
    <font>
      <sz val="10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14" fontId="3" fillId="0" borderId="19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0" fillId="0" borderId="15" xfId="0" applyBorder="1"/>
    <xf numFmtId="0" fontId="0" fillId="0" borderId="23" xfId="0" applyBorder="1"/>
    <xf numFmtId="1" fontId="0" fillId="2" borderId="14" xfId="0" applyNumberFormat="1" applyFill="1" applyBorder="1" applyAlignment="1">
      <alignment horizontal="center" vertical="center"/>
    </xf>
    <xf numFmtId="1" fontId="8" fillId="0" borderId="15" xfId="0" applyNumberFormat="1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" fontId="0" fillId="0" borderId="33" xfId="0" applyNumberFormat="1" applyBorder="1" applyAlignment="1">
      <alignment horizontal="center"/>
    </xf>
    <xf numFmtId="2" fontId="4" fillId="0" borderId="14" xfId="0" applyNumberFormat="1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1" fontId="0" fillId="2" borderId="26" xfId="0" applyNumberFormat="1" applyFill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6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0" fillId="0" borderId="19" xfId="0" applyBorder="1"/>
    <xf numFmtId="0" fontId="0" fillId="0" borderId="35" xfId="0" applyBorder="1"/>
    <xf numFmtId="1" fontId="0" fillId="2" borderId="21" xfId="0" applyNumberFormat="1" applyFill="1" applyBorder="1" applyAlignment="1">
      <alignment horizontal="center" vertical="center"/>
    </xf>
    <xf numFmtId="1" fontId="8" fillId="0" borderId="19" xfId="0" applyNumberFormat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2" fontId="4" fillId="0" borderId="21" xfId="0" applyNumberFormat="1" applyFont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2" fontId="0" fillId="0" borderId="38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1" fontId="5" fillId="0" borderId="24" xfId="0" applyNumberFormat="1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8" fillId="0" borderId="35" xfId="0" applyFont="1" applyBorder="1" applyAlignment="1">
      <alignment horizontal="center"/>
    </xf>
    <xf numFmtId="0" fontId="0" fillId="0" borderId="30" xfId="0" applyBorder="1" applyAlignment="1">
      <alignment horizontal="center"/>
    </xf>
    <xf numFmtId="1" fontId="0" fillId="0" borderId="31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2" fillId="0" borderId="39" xfId="0" applyFont="1" applyBorder="1" applyAlignment="1">
      <alignment horizontal="center" vertical="center" wrapText="1"/>
    </xf>
    <xf numFmtId="1" fontId="0" fillId="0" borderId="21" xfId="0" applyNumberFormat="1" applyBorder="1" applyAlignment="1">
      <alignment horizontal="center"/>
    </xf>
    <xf numFmtId="0" fontId="8" fillId="0" borderId="20" xfId="0" applyFont="1" applyBorder="1" applyAlignment="1">
      <alignment horizontal="center"/>
    </xf>
    <xf numFmtId="2" fontId="4" fillId="0" borderId="27" xfId="0" applyNumberFormat="1" applyFont="1" applyBorder="1" applyAlignment="1">
      <alignment horizontal="center"/>
    </xf>
    <xf numFmtId="1" fontId="7" fillId="0" borderId="15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M28"/>
  <sheetViews>
    <sheetView tabSelected="1" zoomScaleNormal="100" workbookViewId="0">
      <selection activeCell="P7" sqref="P7"/>
    </sheetView>
  </sheetViews>
  <sheetFormatPr baseColWidth="10" defaultColWidth="8" defaultRowHeight="16" x14ac:dyDescent="0.2"/>
  <cols>
    <col min="1" max="1" width="8.6640625" style="3" customWidth="1"/>
    <col min="2" max="2" width="10.83203125" style="3" customWidth="1"/>
    <col min="3" max="3" width="11.33203125" style="3" customWidth="1"/>
    <col min="4" max="7" width="6.33203125" style="3" customWidth="1"/>
    <col min="8" max="8" width="6.83203125" style="3" customWidth="1"/>
    <col min="9" max="9" width="6.33203125" style="3" customWidth="1"/>
    <col min="10" max="10" width="6.5" style="3" customWidth="1"/>
    <col min="11" max="11" width="6.83203125" style="3" customWidth="1"/>
    <col min="12" max="12" width="6.1640625" style="3" customWidth="1"/>
    <col min="13" max="13" width="10.6640625" style="3" customWidth="1"/>
    <col min="14" max="16384" width="8" style="3"/>
  </cols>
  <sheetData>
    <row r="1" spans="1:13" s="2" customFormat="1" ht="16" customHeight="1" thickBot="1" x14ac:dyDescent="0.25">
      <c r="A1" s="41" t="s">
        <v>0</v>
      </c>
      <c r="B1" s="42"/>
      <c r="C1" s="47" t="s">
        <v>44</v>
      </c>
      <c r="D1" s="49" t="s">
        <v>1</v>
      </c>
      <c r="E1" s="50"/>
      <c r="F1" s="49" t="s">
        <v>52</v>
      </c>
      <c r="G1" s="50"/>
      <c r="H1" s="53" t="s">
        <v>2</v>
      </c>
      <c r="I1" s="55" t="s">
        <v>45</v>
      </c>
      <c r="J1" s="56"/>
      <c r="K1" s="56"/>
      <c r="L1" s="56"/>
      <c r="M1" s="57"/>
    </row>
    <row r="2" spans="1:13" s="2" customFormat="1" ht="16" customHeight="1" x14ac:dyDescent="0.15">
      <c r="A2" s="43"/>
      <c r="B2" s="44"/>
      <c r="C2" s="48"/>
      <c r="D2" s="51">
        <v>46146</v>
      </c>
      <c r="E2" s="52"/>
      <c r="F2" s="51">
        <v>46153</v>
      </c>
      <c r="G2" s="52"/>
      <c r="H2" s="54"/>
      <c r="I2" s="58" t="s">
        <v>3</v>
      </c>
      <c r="J2" s="60" t="s">
        <v>4</v>
      </c>
      <c r="K2" s="62" t="s">
        <v>5</v>
      </c>
      <c r="L2" s="58" t="s">
        <v>6</v>
      </c>
      <c r="M2" s="58" t="s">
        <v>7</v>
      </c>
    </row>
    <row r="3" spans="1:13" ht="16" customHeight="1" thickBot="1" x14ac:dyDescent="0.2">
      <c r="A3" s="45"/>
      <c r="B3" s="46"/>
      <c r="C3" s="48"/>
      <c r="D3" s="4" t="s">
        <v>8</v>
      </c>
      <c r="E3" s="5" t="s">
        <v>9</v>
      </c>
      <c r="F3" s="4" t="s">
        <v>8</v>
      </c>
      <c r="G3" s="5" t="s">
        <v>9</v>
      </c>
      <c r="H3" s="54"/>
      <c r="I3" s="59"/>
      <c r="J3" s="61"/>
      <c r="K3" s="63"/>
      <c r="L3" s="71"/>
      <c r="M3" s="71"/>
    </row>
    <row r="4" spans="1:13" x14ac:dyDescent="0.2">
      <c r="A4" s="6" t="s">
        <v>41</v>
      </c>
      <c r="B4" s="7" t="s">
        <v>42</v>
      </c>
      <c r="C4" s="8">
        <v>10</v>
      </c>
      <c r="D4" s="9">
        <v>39</v>
      </c>
      <c r="E4" s="10">
        <v>25</v>
      </c>
      <c r="F4" s="75">
        <v>37</v>
      </c>
      <c r="G4" s="10">
        <v>27</v>
      </c>
      <c r="H4" s="11">
        <f>D4+F4</f>
        <v>76</v>
      </c>
      <c r="I4" s="14">
        <v>2</v>
      </c>
      <c r="J4" s="13">
        <v>1</v>
      </c>
      <c r="K4" s="68">
        <v>1</v>
      </c>
      <c r="L4" s="12">
        <f>E4+G4+J4+K4</f>
        <v>54</v>
      </c>
      <c r="M4" s="15">
        <f>L4/I4</f>
        <v>27</v>
      </c>
    </row>
    <row r="5" spans="1:13" x14ac:dyDescent="0.2">
      <c r="A5" s="16" t="s">
        <v>17</v>
      </c>
      <c r="B5" s="17" t="s">
        <v>11</v>
      </c>
      <c r="C5" s="18">
        <v>22</v>
      </c>
      <c r="D5" s="28">
        <v>54</v>
      </c>
      <c r="E5" s="20">
        <v>22</v>
      </c>
      <c r="F5" s="28">
        <v>50</v>
      </c>
      <c r="G5" s="20">
        <v>26</v>
      </c>
      <c r="H5" s="21">
        <f>D5+F5</f>
        <v>104</v>
      </c>
      <c r="I5" s="24">
        <v>2</v>
      </c>
      <c r="J5" s="23"/>
      <c r="K5" s="66"/>
      <c r="L5" s="22">
        <f>E5+G5+J5+K5</f>
        <v>48</v>
      </c>
      <c r="M5" s="25">
        <f>L5/I5</f>
        <v>24</v>
      </c>
    </row>
    <row r="6" spans="1:13" x14ac:dyDescent="0.2">
      <c r="A6" s="16" t="s">
        <v>34</v>
      </c>
      <c r="B6" s="17" t="s">
        <v>35</v>
      </c>
      <c r="C6" s="18">
        <v>1</v>
      </c>
      <c r="D6" s="19">
        <v>35</v>
      </c>
      <c r="E6" s="20">
        <v>20</v>
      </c>
      <c r="F6" s="64">
        <v>35</v>
      </c>
      <c r="G6" s="20">
        <v>20</v>
      </c>
      <c r="H6" s="21">
        <f>D6+F6</f>
        <v>70</v>
      </c>
      <c r="I6" s="24">
        <v>2</v>
      </c>
      <c r="J6" s="23">
        <v>1</v>
      </c>
      <c r="K6" s="66">
        <v>4</v>
      </c>
      <c r="L6" s="22">
        <f>E6+G6+J6+K6</f>
        <v>45</v>
      </c>
      <c r="M6" s="25">
        <f>L6/I6</f>
        <v>22.5</v>
      </c>
    </row>
    <row r="7" spans="1:13" x14ac:dyDescent="0.2">
      <c r="A7" s="16" t="s">
        <v>18</v>
      </c>
      <c r="B7" s="17" t="s">
        <v>19</v>
      </c>
      <c r="C7" s="18">
        <v>9</v>
      </c>
      <c r="D7" s="27">
        <v>42</v>
      </c>
      <c r="E7" s="20">
        <v>21</v>
      </c>
      <c r="F7" s="27">
        <v>40</v>
      </c>
      <c r="G7" s="20">
        <v>23</v>
      </c>
      <c r="H7" s="21">
        <f>D7+F7</f>
        <v>82</v>
      </c>
      <c r="I7" s="24">
        <v>2</v>
      </c>
      <c r="J7" s="23"/>
      <c r="K7" s="66">
        <v>1</v>
      </c>
      <c r="L7" s="22">
        <f>E7+G7+J7+K7</f>
        <v>45</v>
      </c>
      <c r="M7" s="25">
        <f>L7/I7</f>
        <v>22.5</v>
      </c>
    </row>
    <row r="8" spans="1:13" x14ac:dyDescent="0.2">
      <c r="A8" s="16" t="s">
        <v>12</v>
      </c>
      <c r="B8" s="17" t="s">
        <v>13</v>
      </c>
      <c r="C8" s="18">
        <v>11</v>
      </c>
      <c r="D8" s="28">
        <v>44</v>
      </c>
      <c r="E8" s="20">
        <v>21</v>
      </c>
      <c r="F8" s="28">
        <v>45</v>
      </c>
      <c r="G8" s="20">
        <v>20</v>
      </c>
      <c r="H8" s="21">
        <f>D8+F8</f>
        <v>89</v>
      </c>
      <c r="I8" s="24">
        <v>2</v>
      </c>
      <c r="J8" s="23"/>
      <c r="K8" s="66">
        <v>1</v>
      </c>
      <c r="L8" s="22">
        <f>E8+G8+J8+K8</f>
        <v>42</v>
      </c>
      <c r="M8" s="25">
        <f>L8/I8</f>
        <v>21</v>
      </c>
    </row>
    <row r="9" spans="1:13" x14ac:dyDescent="0.2">
      <c r="A9" s="16" t="s">
        <v>10</v>
      </c>
      <c r="B9" s="17" t="s">
        <v>11</v>
      </c>
      <c r="C9" s="18">
        <v>15</v>
      </c>
      <c r="D9" s="26">
        <v>47</v>
      </c>
      <c r="E9" s="20">
        <v>22</v>
      </c>
      <c r="F9" s="28">
        <v>51</v>
      </c>
      <c r="G9" s="20">
        <v>18</v>
      </c>
      <c r="H9" s="21">
        <f>D9+F9</f>
        <v>98</v>
      </c>
      <c r="I9" s="24">
        <v>2</v>
      </c>
      <c r="J9" s="23">
        <v>1</v>
      </c>
      <c r="K9" s="66"/>
      <c r="L9" s="22">
        <f>E9+G9+J9+K9</f>
        <v>41</v>
      </c>
      <c r="M9" s="25">
        <f>L9/I9</f>
        <v>20.5</v>
      </c>
    </row>
    <row r="10" spans="1:13" x14ac:dyDescent="0.2">
      <c r="A10" s="16" t="s">
        <v>25</v>
      </c>
      <c r="B10" s="17" t="s">
        <v>26</v>
      </c>
      <c r="C10" s="18">
        <v>6</v>
      </c>
      <c r="D10" s="28">
        <v>43</v>
      </c>
      <c r="E10" s="20">
        <v>17</v>
      </c>
      <c r="F10" s="65">
        <v>40</v>
      </c>
      <c r="G10" s="20">
        <v>20</v>
      </c>
      <c r="H10" s="21">
        <f>D10+F10</f>
        <v>83</v>
      </c>
      <c r="I10" s="24">
        <v>2</v>
      </c>
      <c r="J10" s="23">
        <v>1</v>
      </c>
      <c r="K10" s="66">
        <v>2</v>
      </c>
      <c r="L10" s="22">
        <f>E10+G10+J10+K10</f>
        <v>40</v>
      </c>
      <c r="M10" s="25">
        <f>L10/I10</f>
        <v>20</v>
      </c>
    </row>
    <row r="11" spans="1:13" x14ac:dyDescent="0.2">
      <c r="A11" s="16" t="s">
        <v>23</v>
      </c>
      <c r="B11" s="17" t="s">
        <v>24</v>
      </c>
      <c r="C11" s="18">
        <v>23</v>
      </c>
      <c r="D11" s="28">
        <v>57</v>
      </c>
      <c r="E11" s="20">
        <v>20</v>
      </c>
      <c r="F11" s="28">
        <v>58</v>
      </c>
      <c r="G11" s="20">
        <v>19</v>
      </c>
      <c r="H11" s="21">
        <f>D11+F11</f>
        <v>115</v>
      </c>
      <c r="I11" s="24">
        <v>2</v>
      </c>
      <c r="J11" s="23"/>
      <c r="K11" s="66"/>
      <c r="L11" s="22">
        <f>E11+G11+J11+K11</f>
        <v>39</v>
      </c>
      <c r="M11" s="25">
        <f>L11/I11</f>
        <v>19.5</v>
      </c>
    </row>
    <row r="12" spans="1:13" x14ac:dyDescent="0.2">
      <c r="A12" s="16" t="s">
        <v>39</v>
      </c>
      <c r="B12" s="17" t="s">
        <v>40</v>
      </c>
      <c r="C12" s="18">
        <v>12</v>
      </c>
      <c r="D12" s="28"/>
      <c r="E12" s="66"/>
      <c r="F12" s="28">
        <v>52</v>
      </c>
      <c r="G12" s="66">
        <v>14</v>
      </c>
      <c r="H12" s="21">
        <f>D12+F12</f>
        <v>52</v>
      </c>
      <c r="I12" s="24">
        <v>1</v>
      </c>
      <c r="J12" s="23"/>
      <c r="K12" s="66"/>
      <c r="L12" s="22">
        <f>E12+G12+J12+K12</f>
        <v>14</v>
      </c>
      <c r="M12" s="25">
        <f t="shared" ref="M12:M27" si="0">L12/I12</f>
        <v>14</v>
      </c>
    </row>
    <row r="13" spans="1:13" x14ac:dyDescent="0.2">
      <c r="A13" s="16" t="s">
        <v>26</v>
      </c>
      <c r="B13" s="17" t="s">
        <v>54</v>
      </c>
      <c r="C13" s="18" t="s">
        <v>27</v>
      </c>
      <c r="D13" s="28"/>
      <c r="E13" s="20"/>
      <c r="F13" s="28">
        <v>35</v>
      </c>
      <c r="G13" s="20"/>
      <c r="H13" s="21">
        <f>D13+F13</f>
        <v>35</v>
      </c>
      <c r="I13" s="24">
        <v>1</v>
      </c>
      <c r="J13" s="23"/>
      <c r="K13" s="66">
        <v>2</v>
      </c>
      <c r="L13" s="22">
        <f>E13+G13+J13+K13</f>
        <v>2</v>
      </c>
      <c r="M13" s="25">
        <f t="shared" si="0"/>
        <v>2</v>
      </c>
    </row>
    <row r="14" spans="1:13" x14ac:dyDescent="0.2">
      <c r="A14" s="16" t="s">
        <v>46</v>
      </c>
      <c r="B14" s="17" t="s">
        <v>47</v>
      </c>
      <c r="C14" s="18" t="s">
        <v>27</v>
      </c>
      <c r="D14" s="28">
        <v>48</v>
      </c>
      <c r="E14" s="20"/>
      <c r="F14" s="28">
        <v>48</v>
      </c>
      <c r="G14" s="20"/>
      <c r="H14" s="21">
        <f>D14+F14</f>
        <v>96</v>
      </c>
      <c r="I14" s="24">
        <v>2</v>
      </c>
      <c r="J14" s="23"/>
      <c r="K14" s="66"/>
      <c r="L14" s="22">
        <f>E14+G14+J14+K14</f>
        <v>0</v>
      </c>
      <c r="M14" s="25">
        <f t="shared" si="0"/>
        <v>0</v>
      </c>
    </row>
    <row r="15" spans="1:13" x14ac:dyDescent="0.2">
      <c r="A15" s="16" t="s">
        <v>50</v>
      </c>
      <c r="B15" s="17" t="s">
        <v>51</v>
      </c>
      <c r="C15" s="18" t="s">
        <v>27</v>
      </c>
      <c r="D15" s="28">
        <v>58</v>
      </c>
      <c r="E15" s="20"/>
      <c r="F15" s="28">
        <v>61</v>
      </c>
      <c r="G15" s="20"/>
      <c r="H15" s="21">
        <f>D15+F15</f>
        <v>119</v>
      </c>
      <c r="I15" s="24">
        <v>2</v>
      </c>
      <c r="J15" s="23"/>
      <c r="K15" s="66"/>
      <c r="L15" s="22">
        <f>E15+G15+J15+K15</f>
        <v>0</v>
      </c>
      <c r="M15" s="25">
        <f t="shared" si="0"/>
        <v>0</v>
      </c>
    </row>
    <row r="16" spans="1:13" x14ac:dyDescent="0.2">
      <c r="A16" s="16" t="s">
        <v>10</v>
      </c>
      <c r="B16" s="17" t="s">
        <v>43</v>
      </c>
      <c r="C16" s="18" t="s">
        <v>27</v>
      </c>
      <c r="D16" s="28">
        <v>50</v>
      </c>
      <c r="E16" s="20"/>
      <c r="F16" s="28">
        <v>46</v>
      </c>
      <c r="G16" s="20"/>
      <c r="H16" s="21">
        <f>D16+F16</f>
        <v>96</v>
      </c>
      <c r="I16" s="24">
        <v>2</v>
      </c>
      <c r="J16" s="23"/>
      <c r="K16" s="66"/>
      <c r="L16" s="22">
        <f>E16+G16+J16+K16</f>
        <v>0</v>
      </c>
      <c r="M16" s="25">
        <f t="shared" si="0"/>
        <v>0</v>
      </c>
    </row>
    <row r="17" spans="1:13" x14ac:dyDescent="0.2">
      <c r="A17" s="16" t="s">
        <v>48</v>
      </c>
      <c r="B17" s="17" t="s">
        <v>49</v>
      </c>
      <c r="C17" s="18" t="s">
        <v>27</v>
      </c>
      <c r="D17" s="28">
        <v>51</v>
      </c>
      <c r="E17" s="20"/>
      <c r="F17" s="28"/>
      <c r="G17" s="20"/>
      <c r="H17" s="21">
        <f>D17+F17</f>
        <v>51</v>
      </c>
      <c r="I17" s="24">
        <v>1</v>
      </c>
      <c r="J17" s="23"/>
      <c r="K17" s="66"/>
      <c r="L17" s="22">
        <f>E17+G17+J17+K17</f>
        <v>0</v>
      </c>
      <c r="M17" s="25">
        <f t="shared" si="0"/>
        <v>0</v>
      </c>
    </row>
    <row r="18" spans="1:13" x14ac:dyDescent="0.2">
      <c r="A18" s="16" t="s">
        <v>11</v>
      </c>
      <c r="B18" s="17" t="s">
        <v>53</v>
      </c>
      <c r="C18" s="18" t="s">
        <v>27</v>
      </c>
      <c r="D18" s="28"/>
      <c r="E18" s="20"/>
      <c r="F18" s="28">
        <v>52</v>
      </c>
      <c r="G18" s="20"/>
      <c r="H18" s="21">
        <f>D18+F18</f>
        <v>52</v>
      </c>
      <c r="I18" s="24">
        <v>1</v>
      </c>
      <c r="J18" s="23"/>
      <c r="K18" s="66"/>
      <c r="L18" s="22">
        <f>E18+G18+J18+K18</f>
        <v>0</v>
      </c>
      <c r="M18" s="25">
        <f t="shared" si="0"/>
        <v>0</v>
      </c>
    </row>
    <row r="19" spans="1:13" x14ac:dyDescent="0.2">
      <c r="A19" s="16" t="s">
        <v>32</v>
      </c>
      <c r="B19" s="17" t="s">
        <v>33</v>
      </c>
      <c r="C19" s="18">
        <v>13</v>
      </c>
      <c r="D19" s="28"/>
      <c r="E19" s="20"/>
      <c r="F19" s="28"/>
      <c r="G19" s="20"/>
      <c r="H19" s="21">
        <f>D19+F19</f>
        <v>0</v>
      </c>
      <c r="I19" s="24"/>
      <c r="J19" s="23"/>
      <c r="K19" s="66"/>
      <c r="L19" s="22">
        <f>E19+G19+J19+K19</f>
        <v>0</v>
      </c>
      <c r="M19" s="25"/>
    </row>
    <row r="20" spans="1:13" x14ac:dyDescent="0.2">
      <c r="A20" s="16" t="s">
        <v>21</v>
      </c>
      <c r="B20" s="17" t="s">
        <v>22</v>
      </c>
      <c r="C20" s="18">
        <v>18</v>
      </c>
      <c r="D20" s="28"/>
      <c r="E20" s="20"/>
      <c r="F20" s="28"/>
      <c r="G20" s="20"/>
      <c r="H20" s="21">
        <f>D20+F20</f>
        <v>0</v>
      </c>
      <c r="I20" s="24"/>
      <c r="J20" s="23"/>
      <c r="K20" s="66"/>
      <c r="L20" s="22">
        <f>E20+G20+J20+K20</f>
        <v>0</v>
      </c>
      <c r="M20" s="25"/>
    </row>
    <row r="21" spans="1:13" x14ac:dyDescent="0.2">
      <c r="A21" s="16" t="s">
        <v>30</v>
      </c>
      <c r="B21" s="17" t="s">
        <v>31</v>
      </c>
      <c r="C21" s="18">
        <v>14</v>
      </c>
      <c r="D21" s="28"/>
      <c r="E21" s="20"/>
      <c r="F21" s="28"/>
      <c r="G21" s="20"/>
      <c r="H21" s="21">
        <f>D21+F21</f>
        <v>0</v>
      </c>
      <c r="I21" s="24"/>
      <c r="J21" s="23"/>
      <c r="K21" s="66"/>
      <c r="L21" s="22">
        <f>E21+G21+J21+K21</f>
        <v>0</v>
      </c>
      <c r="M21" s="25"/>
    </row>
    <row r="22" spans="1:13" x14ac:dyDescent="0.2">
      <c r="A22" s="16" t="s">
        <v>12</v>
      </c>
      <c r="B22" s="17" t="s">
        <v>16</v>
      </c>
      <c r="C22" s="18">
        <v>6</v>
      </c>
      <c r="D22" s="28"/>
      <c r="E22" s="20"/>
      <c r="F22" s="28"/>
      <c r="G22" s="20"/>
      <c r="H22" s="21">
        <f>D22+F22</f>
        <v>0</v>
      </c>
      <c r="I22" s="24"/>
      <c r="J22" s="23"/>
      <c r="K22" s="66"/>
      <c r="L22" s="22">
        <f>E22+G22+J22+K22</f>
        <v>0</v>
      </c>
      <c r="M22" s="25"/>
    </row>
    <row r="23" spans="1:13" x14ac:dyDescent="0.2">
      <c r="A23" s="16" t="s">
        <v>28</v>
      </c>
      <c r="B23" s="17" t="s">
        <v>29</v>
      </c>
      <c r="C23" s="18">
        <v>11</v>
      </c>
      <c r="D23" s="28"/>
      <c r="E23" s="20"/>
      <c r="F23" s="28"/>
      <c r="G23" s="20"/>
      <c r="H23" s="21">
        <f>D23+F23</f>
        <v>0</v>
      </c>
      <c r="I23" s="24"/>
      <c r="J23" s="29"/>
      <c r="K23" s="69"/>
      <c r="L23" s="22">
        <f>E23+G23+J23+K23</f>
        <v>0</v>
      </c>
      <c r="M23" s="25"/>
    </row>
    <row r="24" spans="1:13" x14ac:dyDescent="0.2">
      <c r="A24" s="16" t="s">
        <v>36</v>
      </c>
      <c r="B24" s="17" t="s">
        <v>37</v>
      </c>
      <c r="C24" s="18">
        <v>11</v>
      </c>
      <c r="D24" s="28"/>
      <c r="E24" s="20"/>
      <c r="F24" s="28"/>
      <c r="G24" s="20"/>
      <c r="H24" s="21">
        <f>D24+F24</f>
        <v>0</v>
      </c>
      <c r="I24" s="24"/>
      <c r="J24" s="23"/>
      <c r="K24" s="66"/>
      <c r="L24" s="22">
        <f>E24+G24+J24+K24</f>
        <v>0</v>
      </c>
      <c r="M24" s="25"/>
    </row>
    <row r="25" spans="1:13" x14ac:dyDescent="0.2">
      <c r="A25" s="16" t="s">
        <v>20</v>
      </c>
      <c r="B25" s="17" t="s">
        <v>15</v>
      </c>
      <c r="C25" s="18">
        <v>18</v>
      </c>
      <c r="D25" s="28"/>
      <c r="E25" s="20"/>
      <c r="F25" s="28"/>
      <c r="G25" s="20"/>
      <c r="H25" s="21">
        <f>D25+F25</f>
        <v>0</v>
      </c>
      <c r="I25" s="24"/>
      <c r="J25" s="23"/>
      <c r="K25" s="66"/>
      <c r="L25" s="22">
        <f>E25+G25+J25+K25</f>
        <v>0</v>
      </c>
      <c r="M25" s="25"/>
    </row>
    <row r="26" spans="1:13" x14ac:dyDescent="0.2">
      <c r="A26" s="16" t="s">
        <v>14</v>
      </c>
      <c r="B26" s="17" t="s">
        <v>15</v>
      </c>
      <c r="C26" s="18">
        <v>17</v>
      </c>
      <c r="D26" s="28"/>
      <c r="E26" s="20"/>
      <c r="F26" s="28"/>
      <c r="G26" s="20"/>
      <c r="H26" s="21">
        <f>D26+F26</f>
        <v>0</v>
      </c>
      <c r="I26" s="24"/>
      <c r="J26" s="23"/>
      <c r="K26" s="66"/>
      <c r="L26" s="22">
        <f>E26+G26+J26+K26</f>
        <v>0</v>
      </c>
      <c r="M26" s="25"/>
    </row>
    <row r="27" spans="1:13" ht="17" thickBot="1" x14ac:dyDescent="0.25">
      <c r="A27" s="30" t="s">
        <v>30</v>
      </c>
      <c r="B27" s="31" t="s">
        <v>38</v>
      </c>
      <c r="C27" s="32">
        <v>12</v>
      </c>
      <c r="D27" s="33"/>
      <c r="E27" s="67"/>
      <c r="F27" s="33"/>
      <c r="G27" s="73"/>
      <c r="H27" s="72">
        <f>D27+F27</f>
        <v>0</v>
      </c>
      <c r="I27" s="34"/>
      <c r="J27" s="36"/>
      <c r="K27" s="70"/>
      <c r="L27" s="35">
        <f>E27+G27+J27+K27</f>
        <v>0</v>
      </c>
      <c r="M27" s="37"/>
    </row>
    <row r="28" spans="1:13" s="1" customFormat="1" ht="17" thickBot="1" x14ac:dyDescent="0.25">
      <c r="A28" s="38"/>
      <c r="B28" s="39"/>
      <c r="C28" s="39"/>
      <c r="D28" s="40">
        <f>AVERAGEIF(D4:D27,"&gt;0")</f>
        <v>47.333333333333336</v>
      </c>
      <c r="E28" s="40"/>
      <c r="F28" s="40">
        <f>AVERAGEIF(F4:F27,"&gt;0")</f>
        <v>46.428571428571431</v>
      </c>
      <c r="G28" s="40"/>
      <c r="H28" s="74"/>
    </row>
  </sheetData>
  <sortState xmlns:xlrd2="http://schemas.microsoft.com/office/spreadsheetml/2017/richdata2" ref="A4:M27">
    <sortCondition descending="1" ref="M4:M27"/>
    <sortCondition descending="1" ref="L4:L27"/>
    <sortCondition descending="1" ref="I4:I27"/>
    <sortCondition ref="B4:B27"/>
  </sortState>
  <mergeCells count="13">
    <mergeCell ref="I1:M1"/>
    <mergeCell ref="I2:I3"/>
    <mergeCell ref="J2:J3"/>
    <mergeCell ref="K2:K3"/>
    <mergeCell ref="L2:L3"/>
    <mergeCell ref="M2:M3"/>
    <mergeCell ref="A1:B3"/>
    <mergeCell ref="C1:C3"/>
    <mergeCell ref="D1:E1"/>
    <mergeCell ref="D2:E2"/>
    <mergeCell ref="H1:H3"/>
    <mergeCell ref="F1:G1"/>
    <mergeCell ref="F2:G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 - CTR</cp:lastModifiedBy>
  <cp:lastPrinted>2025-10-02T00:18:57Z</cp:lastPrinted>
  <dcterms:created xsi:type="dcterms:W3CDTF">2025-05-15T01:18:57Z</dcterms:created>
  <dcterms:modified xsi:type="dcterms:W3CDTF">2026-05-15T22:57:01Z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