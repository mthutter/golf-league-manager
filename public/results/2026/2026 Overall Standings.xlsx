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6/"/>
    </mc:Choice>
  </mc:AlternateContent>
  <xr:revisionPtr revIDLastSave="0" documentId="13_ncr:1_{04BD954C-5F36-7C4C-AC21-1D267D026ACC}" xr6:coauthVersionLast="47" xr6:coauthVersionMax="47" xr10:uidLastSave="{00000000-0000-0000-0000-000000000000}"/>
  <bookViews>
    <workbookView xWindow="1580" yWindow="1840" windowWidth="31120" windowHeight="15920" xr2:uid="{1A9894EE-562E-3246-9111-2FABF9BD81D0}"/>
  </bookViews>
  <sheets>
    <sheet name="2026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" l="1"/>
  <c r="J25" i="1"/>
  <c r="J24" i="1"/>
  <c r="J23" i="1"/>
  <c r="J22" i="1"/>
  <c r="J21" i="1"/>
  <c r="J20" i="1"/>
  <c r="J19" i="1"/>
  <c r="J18" i="1"/>
  <c r="J17" i="1"/>
  <c r="J16" i="1"/>
  <c r="J15" i="1"/>
  <c r="F15" i="1"/>
  <c r="J14" i="1"/>
  <c r="F14" i="1"/>
  <c r="J13" i="1"/>
  <c r="F13" i="1"/>
  <c r="J12" i="1"/>
  <c r="F12" i="1"/>
  <c r="J11" i="1"/>
  <c r="K11" i="1" s="1"/>
  <c r="F11" i="1"/>
  <c r="J10" i="1"/>
  <c r="K10" i="1" s="1"/>
  <c r="F10" i="1"/>
  <c r="J9" i="1"/>
  <c r="K9" i="1" s="1"/>
  <c r="F9" i="1"/>
  <c r="J8" i="1"/>
  <c r="K8" i="1" s="1"/>
  <c r="F8" i="1"/>
  <c r="J7" i="1"/>
  <c r="K7" i="1" s="1"/>
  <c r="F7" i="1"/>
  <c r="J6" i="1"/>
  <c r="K6" i="1" s="1"/>
  <c r="F6" i="1"/>
  <c r="J5" i="1"/>
  <c r="K5" i="1" s="1"/>
  <c r="F5" i="1"/>
  <c r="K4" i="1"/>
  <c r="J4" i="1"/>
  <c r="F4" i="1"/>
</calcChain>
</file>

<file path=xl/sharedStrings.xml><?xml version="1.0" encoding="utf-8"?>
<sst xmlns="http://schemas.openxmlformats.org/spreadsheetml/2006/main" count="60" uniqueCount="52">
  <si>
    <t>PLAYERS</t>
  </si>
  <si>
    <t>WEEK 1</t>
  </si>
  <si>
    <t>Total Strokes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</si>
  <si>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</si>
  <si>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</si>
  <si>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</si>
  <si>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</si>
  <si>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</si>
  <si>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</si>
  <si>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</si>
  <si>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</si>
  <si>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</si>
  <si>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</si>
  <si>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</si>
  <si>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</si>
  <si>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</si>
  <si>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</si>
  <si>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</si>
  <si>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</si>
  <si>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</si>
  <si>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</si>
  <si>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</si>
  <si>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</si>
  <si>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</si>
  <si>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</si>
  <si>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</si>
  <si>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</si>
  <si>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</si>
  <si>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</si>
  <si>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</si>
  <si>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</si>
  <si>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</si>
  <si>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</si>
  <si>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</si>
  <si>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</si>
  <si>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</si>
  <si>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</si>
  <si>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</si>
  <si>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</si>
  <si>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</si>
  <si>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</si>
  <si>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Aaron</t>
  </si>
  <si>
    <t>Johnson</t>
  </si>
  <si>
    <t>Ra</t>
  </si>
  <si>
    <t>9-HOLE 
HANDICAP (from 2025)</t>
  </si>
  <si>
    <t>FIRST HALF (11 Rounds)</t>
  </si>
  <si>
    <t>Jim</t>
  </si>
  <si>
    <t>Northamer</t>
  </si>
  <si>
    <t>Perry</t>
  </si>
  <si>
    <t>Dvorak</t>
  </si>
  <si>
    <t>Mario</t>
  </si>
  <si>
    <t>Pineda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</si>
</sst>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scheme val="minor"/>
    </font>
    <font>
      <sz val="10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2" fillId="0" borderId="29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0" fillId="0" borderId="15" xfId="0" applyBorder="1"/>
    <xf numFmtId="0" fontId="0" fillId="0" borderId="25" xfId="0" applyBorder="1"/>
    <xf numFmtId="1" fontId="0" fillId="2" borderId="14" xfId="0" applyNumberFormat="1" applyFill="1" applyBorder="1" applyAlignment="1">
      <alignment horizontal="center" vertical="center"/>
    </xf>
    <xf numFmtId="1" fontId="8" fillId="0" borderId="15" xfId="0" applyNumberFormat="1" applyFont="1" applyBorder="1" applyAlignment="1">
      <alignment horizontal="center"/>
    </xf>
    <xf numFmtId="0" fontId="8" fillId="0" borderId="32" xfId="0" applyFon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5" xfId="0" applyBorder="1" applyAlignment="1">
      <alignment horizontal="center"/>
    </xf>
    <xf numFmtId="1" fontId="0" fillId="0" borderId="35" xfId="0" applyNumberFormat="1" applyBorder="1" applyAlignment="1">
      <alignment horizontal="center"/>
    </xf>
    <xf numFmtId="2" fontId="4" fillId="0" borderId="14" xfId="0" applyNumberFormat="1" applyFont="1" applyBorder="1" applyAlignment="1">
      <alignment horizontal="center"/>
    </xf>
    <xf numFmtId="0" fontId="0" fillId="0" borderId="26" xfId="0" applyBorder="1"/>
    <xf numFmtId="0" fontId="0" fillId="0" borderId="27" xfId="0" applyBorder="1"/>
    <xf numFmtId="1" fontId="0" fillId="2" borderId="28" xfId="0" applyNumberFormat="1" applyFill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/>
    </xf>
    <xf numFmtId="1" fontId="0" fillId="0" borderId="28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1" fontId="0" fillId="0" borderId="36" xfId="0" applyNumberFormat="1" applyBorder="1" applyAlignment="1">
      <alignment horizontal="center"/>
    </xf>
    <xf numFmtId="2" fontId="4" fillId="0" borderId="28" xfId="0" applyNumberFormat="1" applyFont="1" applyBorder="1" applyAlignment="1">
      <alignment horizontal="center"/>
    </xf>
    <xf numFmtId="1" fontId="5" fillId="0" borderId="26" xfId="0" applyNumberFormat="1" applyFont="1" applyBorder="1" applyAlignment="1">
      <alignment horizontal="center"/>
    </xf>
    <xf numFmtId="1" fontId="8" fillId="0" borderId="9" xfId="0" applyNumberFormat="1" applyFont="1" applyBorder="1" applyAlignment="1">
      <alignment horizontal="center"/>
    </xf>
    <xf numFmtId="1" fontId="8" fillId="0" borderId="26" xfId="0" applyNumberFormat="1" applyFon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0" fontId="0" fillId="0" borderId="20" xfId="0" applyBorder="1"/>
    <xf numFmtId="0" fontId="0" fillId="0" borderId="37" xfId="0" applyBorder="1"/>
    <xf numFmtId="1" fontId="0" fillId="2" borderId="22" xfId="0" applyNumberFormat="1" applyFill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0" fontId="0" fillId="0" borderId="37" xfId="0" applyBorder="1" applyAlignment="1">
      <alignment horizontal="center"/>
    </xf>
    <xf numFmtId="1" fontId="0" fillId="0" borderId="38" xfId="0" applyNumberFormat="1" applyBorder="1" applyAlignment="1">
      <alignment horizontal="center"/>
    </xf>
    <xf numFmtId="1" fontId="0" fillId="0" borderId="34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2" fontId="4" fillId="0" borderId="22" xfId="0" applyNumberFormat="1" applyFont="1" applyBorder="1" applyAlignment="1">
      <alignment horizont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2" fontId="0" fillId="0" borderId="40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BG26"/>
  <sheetViews>
    <sheetView tabSelected="1" zoomScaleNormal="100" workbookViewId="0">
      <selection activeCell="G30" sqref="G30"/>
    </sheetView>
  </sheetViews>
  <sheetFormatPr baseColWidth="10" defaultColWidth="8" defaultRowHeight="16" x14ac:dyDescent="0.2"/>
  <cols>
    <col min="1" max="1" width="8" style="3"/>
    <col min="2" max="2" width="10.83203125" style="3" customWidth="1"/>
    <col min="3" max="3" width="11.33203125" style="3" customWidth="1"/>
    <col min="4" max="10" width="8" style="3"/>
    <col min="11" max="11" width="10.6640625" style="3" customWidth="1"/>
    <col min="12" max="16384" width="8" style="3"/>
  </cols>
  <sheetData>
    <row r="1" spans="1:11" s="2" customFormat="1" ht="16" customHeight="1" thickBot="1" x14ac:dyDescent="0.25">
      <c r="A1" s="17" t="s">
        <v>0</v>
      </c>
      <c r="B1" s="18"/>
      <c r="C1" s="23" t="s">
        <v>44</v>
      </c>
      <c r="D1" s="4" t="s">
        <v>1</v>
      </c>
      <c r="E1" s="5"/>
      <c r="F1" s="7" t="s">
        <v>2</v>
      </c>
      <c r="G1" s="14" t="s">
        <v>45</v>
      </c>
      <c r="H1" s="15"/>
      <c r="I1" s="15"/>
      <c r="J1" s="15"/>
      <c r="K1" s="16"/>
    </row>
    <row r="2" spans="1:11" s="2" customFormat="1" ht="16" customHeight="1" x14ac:dyDescent="0.15">
      <c r="A2" s="19"/>
      <c r="B2" s="20"/>
      <c r="C2" s="24"/>
      <c r="D2" s="25">
        <v>46146</v>
      </c>
      <c r="E2" s="26"/>
      <c r="F2" s="8"/>
      <c r="G2" s="6" t="s">
        <v>3</v>
      </c>
      <c r="H2" s="10" t="s">
        <v>4</v>
      </c>
      <c r="I2" s="12" t="s">
        <v>5</v>
      </c>
      <c r="J2" s="6" t="s">
        <v>6</v>
      </c>
      <c r="K2" s="9" t="s">
        <v>7</v>
      </c>
    </row>
    <row r="3" spans="1:11" ht="16" customHeight="1" thickBot="1" x14ac:dyDescent="0.2">
      <c r="A3" s="21"/>
      <c r="B3" s="22"/>
      <c r="C3" s="24"/>
      <c r="D3" s="27" t="s">
        <v>8</v>
      </c>
      <c r="E3" s="28" t="s">
        <v>9</v>
      </c>
      <c r="F3" s="29"/>
      <c r="G3" s="30"/>
      <c r="H3" s="11"/>
      <c r="I3" s="13"/>
      <c r="J3" s="30"/>
      <c r="K3" s="31"/>
    </row>
    <row r="4" spans="1:11" x14ac:dyDescent="0.2">
      <c r="A4" s="32" t="s">
        <v>41</v>
      </c>
      <c r="B4" s="33" t="s">
        <v>42</v>
      </c>
      <c r="C4" s="34">
        <v>10</v>
      </c>
      <c r="D4" s="35">
        <v>39</v>
      </c>
      <c r="E4" s="36">
        <v>25</v>
      </c>
      <c r="F4" s="37">
        <f>D4</f>
        <v>39</v>
      </c>
      <c r="G4" s="38">
        <v>1</v>
      </c>
      <c r="H4" s="39"/>
      <c r="I4" s="40"/>
      <c r="J4" s="41">
        <f>E4+H4+I4</f>
        <v>25</v>
      </c>
      <c r="K4" s="42">
        <f>J4/G4</f>
        <v>25</v>
      </c>
    </row>
    <row r="5" spans="1:11" x14ac:dyDescent="0.2">
      <c r="A5" s="43" t="s">
        <v>34</v>
      </c>
      <c r="B5" s="44" t="s">
        <v>35</v>
      </c>
      <c r="C5" s="45">
        <v>1</v>
      </c>
      <c r="D5" s="46">
        <v>35</v>
      </c>
      <c r="E5" s="47">
        <v>20</v>
      </c>
      <c r="F5" s="48">
        <f>D5</f>
        <v>35</v>
      </c>
      <c r="G5" s="49">
        <v>1</v>
      </c>
      <c r="H5" s="50">
        <v>1</v>
      </c>
      <c r="I5" s="51">
        <v>2</v>
      </c>
      <c r="J5" s="52">
        <f>E5+H5+I5</f>
        <v>23</v>
      </c>
      <c r="K5" s="53">
        <f>J5/G5</f>
        <v>23</v>
      </c>
    </row>
    <row r="6" spans="1:11" x14ac:dyDescent="0.2">
      <c r="A6" s="43" t="s">
        <v>10</v>
      </c>
      <c r="B6" s="44" t="s">
        <v>11</v>
      </c>
      <c r="C6" s="45">
        <v>15</v>
      </c>
      <c r="D6" s="54">
        <v>47</v>
      </c>
      <c r="E6" s="47">
        <v>22</v>
      </c>
      <c r="F6" s="48">
        <f>D6</f>
        <v>47</v>
      </c>
      <c r="G6" s="49">
        <v>1</v>
      </c>
      <c r="H6" s="50">
        <v>1</v>
      </c>
      <c r="I6" s="51"/>
      <c r="J6" s="52">
        <f>E6+H6+I6</f>
        <v>23</v>
      </c>
      <c r="K6" s="53">
        <f>J6/G6</f>
        <v>23</v>
      </c>
    </row>
    <row r="7" spans="1:11" x14ac:dyDescent="0.2">
      <c r="A7" s="43" t="s">
        <v>18</v>
      </c>
      <c r="B7" s="44" t="s">
        <v>19</v>
      </c>
      <c r="C7" s="45">
        <v>9</v>
      </c>
      <c r="D7" s="55">
        <v>42</v>
      </c>
      <c r="E7" s="47">
        <v>21</v>
      </c>
      <c r="F7" s="48">
        <f>D7</f>
        <v>42</v>
      </c>
      <c r="G7" s="49">
        <v>1</v>
      </c>
      <c r="H7" s="50"/>
      <c r="I7" s="51">
        <v>1</v>
      </c>
      <c r="J7" s="52">
        <f>E7+H7+I7</f>
        <v>22</v>
      </c>
      <c r="K7" s="53">
        <f>J7/G7</f>
        <v>22</v>
      </c>
    </row>
    <row r="8" spans="1:11" x14ac:dyDescent="0.2">
      <c r="A8" s="43" t="s">
        <v>17</v>
      </c>
      <c r="B8" s="44" t="s">
        <v>11</v>
      </c>
      <c r="C8" s="45">
        <v>22</v>
      </c>
      <c r="D8" s="56">
        <v>54</v>
      </c>
      <c r="E8" s="47">
        <v>22</v>
      </c>
      <c r="F8" s="48">
        <f>D8</f>
        <v>54</v>
      </c>
      <c r="G8" s="49">
        <v>1</v>
      </c>
      <c r="H8" s="50"/>
      <c r="I8" s="51"/>
      <c r="J8" s="52">
        <f>E8+H8+I8</f>
        <v>22</v>
      </c>
      <c r="K8" s="53">
        <f>J8/G8</f>
        <v>22</v>
      </c>
    </row>
    <row r="9" spans="1:11" x14ac:dyDescent="0.2">
      <c r="A9" s="43" t="s">
        <v>12</v>
      </c>
      <c r="B9" s="44" t="s">
        <v>13</v>
      </c>
      <c r="C9" s="45">
        <v>11</v>
      </c>
      <c r="D9" s="56">
        <v>44</v>
      </c>
      <c r="E9" s="47">
        <v>21</v>
      </c>
      <c r="F9" s="48">
        <f>D9</f>
        <v>44</v>
      </c>
      <c r="G9" s="49">
        <v>1</v>
      </c>
      <c r="H9" s="50"/>
      <c r="I9" s="51"/>
      <c r="J9" s="52">
        <f>E9+H9+I9</f>
        <v>21</v>
      </c>
      <c r="K9" s="53">
        <f>J9/G9</f>
        <v>21</v>
      </c>
    </row>
    <row r="10" spans="1:11" x14ac:dyDescent="0.2">
      <c r="A10" s="43" t="s">
        <v>23</v>
      </c>
      <c r="B10" s="44" t="s">
        <v>24</v>
      </c>
      <c r="C10" s="45">
        <v>23</v>
      </c>
      <c r="D10" s="56">
        <v>57</v>
      </c>
      <c r="E10" s="47">
        <v>20</v>
      </c>
      <c r="F10" s="48">
        <f>D10</f>
        <v>57</v>
      </c>
      <c r="G10" s="49">
        <v>1</v>
      </c>
      <c r="H10" s="50"/>
      <c r="I10" s="51"/>
      <c r="J10" s="52">
        <f>E10+H10+I10</f>
        <v>20</v>
      </c>
      <c r="K10" s="53">
        <f>J10/G10</f>
        <v>20</v>
      </c>
    </row>
    <row r="11" spans="1:11" x14ac:dyDescent="0.2">
      <c r="A11" s="43" t="s">
        <v>25</v>
      </c>
      <c r="B11" s="44" t="s">
        <v>26</v>
      </c>
      <c r="C11" s="45">
        <v>6</v>
      </c>
      <c r="D11" s="56">
        <v>43</v>
      </c>
      <c r="E11" s="47">
        <v>17</v>
      </c>
      <c r="F11" s="48">
        <f>D11</f>
        <v>43</v>
      </c>
      <c r="G11" s="49">
        <v>1</v>
      </c>
      <c r="H11" s="50"/>
      <c r="I11" s="51"/>
      <c r="J11" s="52">
        <f>E11+H11+I11</f>
        <v>17</v>
      </c>
      <c r="K11" s="53">
        <f>J11/G11</f>
        <v>17</v>
      </c>
    </row>
    <row r="12" spans="1:11" x14ac:dyDescent="0.2">
      <c r="A12" s="43" t="s">
        <v>46</v>
      </c>
      <c r="B12" s="44" t="s">
        <v>47</v>
      </c>
      <c r="C12" s="45" t="s">
        <v>27</v>
      </c>
      <c r="D12" s="56">
        <v>48</v>
      </c>
      <c r="E12" s="47"/>
      <c r="F12" s="48">
        <f>D12</f>
        <v>48</v>
      </c>
      <c r="G12" s="49">
        <v>1</v>
      </c>
      <c r="H12" s="50"/>
      <c r="I12" s="51"/>
      <c r="J12" s="52">
        <f>E12+H12+I12</f>
        <v>0</v>
      </c>
      <c r="K12" s="53"/>
    </row>
    <row r="13" spans="1:11" x14ac:dyDescent="0.2">
      <c r="A13" s="43" t="s">
        <v>10</v>
      </c>
      <c r="B13" s="44" t="s">
        <v>43</v>
      </c>
      <c r="C13" s="45" t="s">
        <v>27</v>
      </c>
      <c r="D13" s="56">
        <v>50</v>
      </c>
      <c r="E13" s="47"/>
      <c r="F13" s="48">
        <f>D13</f>
        <v>50</v>
      </c>
      <c r="G13" s="49">
        <v>1</v>
      </c>
      <c r="H13" s="50"/>
      <c r="I13" s="51"/>
      <c r="J13" s="52">
        <f>E13+H13+I13</f>
        <v>0</v>
      </c>
      <c r="K13" s="53"/>
    </row>
    <row r="14" spans="1:11" x14ac:dyDescent="0.2">
      <c r="A14" s="43" t="s">
        <v>48</v>
      </c>
      <c r="B14" s="44" t="s">
        <v>49</v>
      </c>
      <c r="C14" s="45" t="s">
        <v>27</v>
      </c>
      <c r="D14" s="56">
        <v>51</v>
      </c>
      <c r="E14" s="47"/>
      <c r="F14" s="48">
        <f>D14</f>
        <v>51</v>
      </c>
      <c r="G14" s="49">
        <v>1</v>
      </c>
      <c r="H14" s="50"/>
      <c r="I14" s="51"/>
      <c r="J14" s="52">
        <f>E14+H14+I14</f>
        <v>0</v>
      </c>
      <c r="K14" s="53"/>
    </row>
    <row r="15" spans="1:11" x14ac:dyDescent="0.2">
      <c r="A15" s="43" t="s">
        <v>50</v>
      </c>
      <c r="B15" s="44" t="s">
        <v>51</v>
      </c>
      <c r="C15" s="45" t="s">
        <v>27</v>
      </c>
      <c r="D15" s="56">
        <v>58</v>
      </c>
      <c r="E15" s="47"/>
      <c r="F15" s="48">
        <f>D15</f>
        <v>58</v>
      </c>
      <c r="G15" s="49">
        <v>1</v>
      </c>
      <c r="H15" s="50"/>
      <c r="I15" s="51"/>
      <c r="J15" s="52">
        <f>E15+H15+I15</f>
        <v>0</v>
      </c>
      <c r="K15" s="53"/>
    </row>
    <row r="16" spans="1:11" x14ac:dyDescent="0.2">
      <c r="A16" s="43" t="s">
        <v>32</v>
      </c>
      <c r="B16" s="44" t="s">
        <v>33</v>
      </c>
      <c r="C16" s="45">
        <v>13</v>
      </c>
      <c r="D16" s="56"/>
      <c r="E16" s="47"/>
      <c r="F16" s="48"/>
      <c r="G16" s="49"/>
      <c r="H16" s="50"/>
      <c r="I16" s="51"/>
      <c r="J16" s="52">
        <f>E16+H16+I16</f>
        <v>0</v>
      </c>
      <c r="K16" s="53"/>
    </row>
    <row r="17" spans="1:11" x14ac:dyDescent="0.2">
      <c r="A17" s="43" t="s">
        <v>21</v>
      </c>
      <c r="B17" s="44" t="s">
        <v>22</v>
      </c>
      <c r="C17" s="45">
        <v>18</v>
      </c>
      <c r="D17" s="56"/>
      <c r="E17" s="47"/>
      <c r="F17" s="48"/>
      <c r="G17" s="49"/>
      <c r="H17" s="50"/>
      <c r="I17" s="51"/>
      <c r="J17" s="52">
        <f>E17+H17+I17</f>
        <v>0</v>
      </c>
      <c r="K17" s="53"/>
    </row>
    <row r="18" spans="1:11" x14ac:dyDescent="0.2">
      <c r="A18" s="43" t="s">
        <v>30</v>
      </c>
      <c r="B18" s="44" t="s">
        <v>31</v>
      </c>
      <c r="C18" s="45">
        <v>14</v>
      </c>
      <c r="D18" s="56"/>
      <c r="E18" s="47"/>
      <c r="F18" s="48"/>
      <c r="G18" s="49"/>
      <c r="H18" s="50"/>
      <c r="I18" s="51"/>
      <c r="J18" s="52">
        <f>E18+H18+I18</f>
        <v>0</v>
      </c>
      <c r="K18" s="53"/>
    </row>
    <row r="19" spans="1:11" x14ac:dyDescent="0.2">
      <c r="A19" s="43" t="s">
        <v>12</v>
      </c>
      <c r="B19" s="44" t="s">
        <v>16</v>
      </c>
      <c r="C19" s="45">
        <v>6</v>
      </c>
      <c r="D19" s="56"/>
      <c r="E19" s="47"/>
      <c r="F19" s="48"/>
      <c r="G19" s="49"/>
      <c r="H19" s="50"/>
      <c r="I19" s="51"/>
      <c r="J19" s="52">
        <f>E19+H19+I19</f>
        <v>0</v>
      </c>
      <c r="K19" s="53"/>
    </row>
    <row r="20" spans="1:11" x14ac:dyDescent="0.2">
      <c r="A20" s="43" t="s">
        <v>28</v>
      </c>
      <c r="B20" s="44" t="s">
        <v>29</v>
      </c>
      <c r="C20" s="45">
        <v>11</v>
      </c>
      <c r="D20" s="56"/>
      <c r="E20" s="47"/>
      <c r="F20" s="48"/>
      <c r="G20" s="49"/>
      <c r="H20" s="57"/>
      <c r="I20" s="58"/>
      <c r="J20" s="52">
        <f>E20+H20+I20</f>
        <v>0</v>
      </c>
      <c r="K20" s="53"/>
    </row>
    <row r="21" spans="1:11" x14ac:dyDescent="0.2">
      <c r="A21" s="43" t="s">
        <v>36</v>
      </c>
      <c r="B21" s="44" t="s">
        <v>37</v>
      </c>
      <c r="C21" s="45">
        <v>11</v>
      </c>
      <c r="D21" s="56"/>
      <c r="E21" s="47"/>
      <c r="F21" s="48"/>
      <c r="G21" s="49"/>
      <c r="H21" s="50"/>
      <c r="I21" s="51"/>
      <c r="J21" s="52">
        <f>E21+H21+I21</f>
        <v>0</v>
      </c>
      <c r="K21" s="53"/>
    </row>
    <row r="22" spans="1:11" x14ac:dyDescent="0.2">
      <c r="A22" s="43" t="s">
        <v>20</v>
      </c>
      <c r="B22" s="44" t="s">
        <v>15</v>
      </c>
      <c r="C22" s="45">
        <v>18</v>
      </c>
      <c r="D22" s="56"/>
      <c r="E22" s="47"/>
      <c r="F22" s="48"/>
      <c r="G22" s="49"/>
      <c r="H22" s="50"/>
      <c r="I22" s="51"/>
      <c r="J22" s="52">
        <f>E22+H22+I22</f>
        <v>0</v>
      </c>
      <c r="K22" s="53"/>
    </row>
    <row r="23" spans="1:11" x14ac:dyDescent="0.2">
      <c r="A23" s="43" t="s">
        <v>14</v>
      </c>
      <c r="B23" s="44" t="s">
        <v>15</v>
      </c>
      <c r="C23" s="45">
        <v>17</v>
      </c>
      <c r="D23" s="56"/>
      <c r="E23" s="47"/>
      <c r="F23" s="48"/>
      <c r="G23" s="49"/>
      <c r="H23" s="50"/>
      <c r="I23" s="51"/>
      <c r="J23" s="52">
        <f>E23+H23+I23</f>
        <v>0</v>
      </c>
      <c r="K23" s="53"/>
    </row>
    <row r="24" spans="1:11" x14ac:dyDescent="0.2">
      <c r="A24" s="43" t="s">
        <v>30</v>
      </c>
      <c r="B24" s="44" t="s">
        <v>38</v>
      </c>
      <c r="C24" s="45">
        <v>12</v>
      </c>
      <c r="D24" s="56"/>
      <c r="E24" s="47"/>
      <c r="F24" s="48"/>
      <c r="G24" s="49"/>
      <c r="H24" s="50"/>
      <c r="I24" s="51"/>
      <c r="J24" s="52">
        <f>E24+H24+I24</f>
        <v>0</v>
      </c>
      <c r="K24" s="53"/>
    </row>
    <row r="25" spans="1:11" ht="17" thickBot="1" x14ac:dyDescent="0.25">
      <c r="A25" s="59" t="s">
        <v>39</v>
      </c>
      <c r="B25" s="60" t="s">
        <v>40</v>
      </c>
      <c r="C25" s="61">
        <v>12</v>
      </c>
      <c r="D25" s="62"/>
      <c r="E25" s="63"/>
      <c r="F25" s="64"/>
      <c r="G25" s="65"/>
      <c r="H25" s="66"/>
      <c r="I25" s="63"/>
      <c r="J25" s="64">
        <f>E25+H25+I25</f>
        <v>0</v>
      </c>
      <c r="K25" s="67"/>
    </row>
    <row r="26" spans="1:11" s="1" customFormat="1" ht="17" thickBot="1" x14ac:dyDescent="0.25">
      <c r="A26" s="68"/>
      <c r="B26" s="69"/>
      <c r="C26" s="69"/>
      <c r="D26" s="70">
        <f>AVERAGEIF(D4:D25,"&gt;0")</f>
        <v>47.333333333333336</v>
      </c>
      <c r="E26" s="70"/>
      <c r="F26" s="67"/>
    </row>
  </sheetData>
  <mergeCells count="11">
    <mergeCell ref="A1:B3"/>
    <mergeCell ref="C1:C3"/>
    <mergeCell ref="D1:E1"/>
    <mergeCell ref="D2:E2"/>
    <mergeCell ref="F1:F3"/>
    <mergeCell ref="G1:K1"/>
    <mergeCell ref="G2:G3"/>
    <mergeCell ref="H2:H3"/>
    <mergeCell ref="I2:I3"/>
    <mergeCell ref="J2:J3"/>
    <mergeCell ref="K2:K3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Hutter, Mark - CTR</cp:lastModifiedBy>
  <cp:lastPrinted>2025-10-02T00:18:57Z</cp:lastPrinted>
  <dcterms:created xsi:type="dcterms:W3CDTF">2025-05-15T01:18:57Z</dcterms:created>
  <dcterms:modified xsi:type="dcterms:W3CDTF">2026-05-08T00:20:33Z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