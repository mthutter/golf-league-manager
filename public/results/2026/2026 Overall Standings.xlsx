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6/"/>
    </mc:Choice>
  </mc:AlternateContent>
  <xr:revisionPtr revIDLastSave="0" documentId="13_ncr:1_{27EFFF2A-E672-C546-B8DB-EBFE626DEE83}" xr6:coauthVersionLast="47" xr6:coauthVersionMax="47" xr10:uidLastSave="{00000000-0000-0000-0000-000000000000}"/>
  <bookViews>
    <workbookView xWindow="45540" yWindow="3380" windowWidth="31120" windowHeight="15920" xr2:uid="{1A9894EE-562E-3246-9111-2FABF9BD81D0}"/>
  </bookViews>
  <sheets>
    <sheet name="2026 Over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7" i="1"/>
  <c r="P10" i="1"/>
  <c r="P8" i="1"/>
  <c r="P9" i="1"/>
  <c r="P11" i="1"/>
  <c r="P13" i="1"/>
  <c r="P12" i="1"/>
  <c r="P15" i="1"/>
  <c r="P16" i="1"/>
  <c r="P18" i="1"/>
  <c r="P19" i="1"/>
  <c r="P20" i="1"/>
  <c r="P14" i="1"/>
  <c r="P21" i="1"/>
  <c r="P22" i="1"/>
  <c r="P23" i="1"/>
  <c r="P17" i="1"/>
  <c r="Q17" i="1" s="1"/>
  <c r="P24" i="1"/>
  <c r="P25" i="1"/>
  <c r="P26" i="1"/>
  <c r="P6" i="1"/>
  <c r="Q6" i="1" s="1"/>
  <c r="P27" i="1"/>
  <c r="P4" i="1"/>
  <c r="M5" i="1"/>
  <c r="M7" i="1"/>
  <c r="M10" i="1"/>
  <c r="M8" i="1"/>
  <c r="M9" i="1"/>
  <c r="M11" i="1"/>
  <c r="M13" i="1"/>
  <c r="M12" i="1"/>
  <c r="M15" i="1"/>
  <c r="M16" i="1"/>
  <c r="M18" i="1"/>
  <c r="M19" i="1"/>
  <c r="M20" i="1"/>
  <c r="M14" i="1"/>
  <c r="M21" i="1"/>
  <c r="M22" i="1"/>
  <c r="M23" i="1"/>
  <c r="M17" i="1"/>
  <c r="M24" i="1"/>
  <c r="M25" i="1"/>
  <c r="M26" i="1"/>
  <c r="M6" i="1"/>
  <c r="M4" i="1"/>
  <c r="L5" i="1"/>
  <c r="L7" i="1"/>
  <c r="L10" i="1"/>
  <c r="L8" i="1"/>
  <c r="L9" i="1"/>
  <c r="L11" i="1"/>
  <c r="L13" i="1"/>
  <c r="L12" i="1"/>
  <c r="L15" i="1"/>
  <c r="L16" i="1"/>
  <c r="L18" i="1"/>
  <c r="L19" i="1"/>
  <c r="L20" i="1"/>
  <c r="L14" i="1"/>
  <c r="L21" i="1"/>
  <c r="L22" i="1"/>
  <c r="L23" i="1"/>
  <c r="L17" i="1"/>
  <c r="L24" i="1"/>
  <c r="L25" i="1"/>
  <c r="L26" i="1"/>
  <c r="L6" i="1"/>
  <c r="L27" i="1"/>
  <c r="L4" i="1"/>
  <c r="J28" i="1"/>
  <c r="M27" i="1" l="1"/>
  <c r="H28" i="1"/>
  <c r="Q10" i="1" l="1"/>
  <c r="Q15" i="1"/>
  <c r="Q9" i="1"/>
  <c r="Q11" i="1"/>
  <c r="Q5" i="1"/>
  <c r="Q7" i="1"/>
  <c r="Q13" i="1"/>
  <c r="Q12" i="1"/>
  <c r="Q19" i="1"/>
  <c r="Q14" i="1"/>
  <c r="Q21" i="1"/>
  <c r="Q20" i="1"/>
  <c r="Q22" i="1"/>
  <c r="Q18" i="1"/>
  <c r="Q16" i="1"/>
  <c r="Q4" i="1"/>
  <c r="F28" i="1"/>
  <c r="D28" i="1"/>
  <c r="Q8" i="1"/>
</calcChain>
</file>

<file path=xl/sharedStrings.xml><?xml version="1.0" encoding="utf-8"?>
<sst xmlns="http://schemas.openxmlformats.org/spreadsheetml/2006/main" count="80" uniqueCount="63">
  <si>
    <t>PLAYERS</t>
  </si>
  <si>
    <t>WEEK 1</t>
  </si>
  <si>
    <t>Total Strokes</t>
  </si>
  <si>
    <t>Rounds Played</t>
  </si>
  <si>
    <t>CTTP Points</t>
  </si>
  <si>
    <t>Birdie Points</t>
  </si>
  <si>
    <t>Total Points</t>
  </si>
  <si>
    <t>Weekly Point Average</t>
  </si>
  <si>
    <t>Score</t>
  </si>
  <si>
    <t>Points</t>
  </si>
  <si>
    <t>John</t>
  </si>
  <si>
    <t>Bess</t>
  </si>
  <si>
    <t>Mark</t>
  </si>
  <si>
    <t>Young</t>
  </si>
  <si>
    <t>Russ</t>
  </si>
  <si>
    <t>Walters</t>
  </si>
  <si>
    <t>Hutter</t>
  </si>
  <si>
    <t>Ami</t>
  </si>
  <si>
    <t>Ryan</t>
  </si>
  <si>
    <t>Miller</t>
  </si>
  <si>
    <t>Kevin</t>
  </si>
  <si>
    <t>Karen</t>
  </si>
  <si>
    <t>Arndt</t>
  </si>
  <si>
    <t>Shayne</t>
  </si>
  <si>
    <t>Ige</t>
  </si>
  <si>
    <t>Matthew</t>
  </si>
  <si>
    <t>Shirola</t>
  </si>
  <si>
    <t>TBD</t>
  </si>
  <si>
    <t>Luke</t>
  </si>
  <si>
    <t>Morgan</t>
  </si>
  <si>
    <t>Mike</t>
  </si>
  <si>
    <t>Guinn</t>
  </si>
  <si>
    <t>Tony</t>
  </si>
  <si>
    <t>Adkison</t>
  </si>
  <si>
    <t>Jon</t>
  </si>
  <si>
    <t>Dickey</t>
  </si>
  <si>
    <t>Jeff</t>
  </si>
  <si>
    <t>Vest</t>
  </si>
  <si>
    <t>White</t>
  </si>
  <si>
    <t>Randy</t>
  </si>
  <si>
    <t>Wise</t>
  </si>
  <si>
    <t>Aaron</t>
  </si>
  <si>
    <t>Johnson</t>
  </si>
  <si>
    <t>Ra</t>
  </si>
  <si>
    <t>FIRST HALF (11 Rounds)</t>
  </si>
  <si>
    <t>Jim</t>
  </si>
  <si>
    <t>Northamer</t>
  </si>
  <si>
    <t>Perry</t>
  </si>
  <si>
    <t>Dvorak</t>
  </si>
  <si>
    <t>Mario</t>
  </si>
  <si>
    <t>Pineda</t>
  </si>
  <si>
    <t>WEEK 2</t>
  </si>
  <si>
    <t>Mollie</t>
  </si>
  <si>
    <t>Parker</t>
  </si>
  <si>
    <t>WEEK 3</t>
  </si>
  <si>
    <t>WEEK 4</t>
  </si>
  <si>
    <t>9-HOLE 
HANDICAP</t>
  </si>
  <si>
    <t>RED</t>
  </si>
  <si>
    <t>Closest #4</t>
  </si>
  <si>
    <t>Closest #7</t>
  </si>
  <si>
    <t>GREEN</t>
  </si>
  <si>
    <t>Closest Both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</si>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</sst>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name val="Aptos Narrow"/>
      <scheme val="minor"/>
    </font>
    <font>
      <b/>
      <sz val="9"/>
      <color rgb="FF00B050"/>
      <name val="Aptos Narrow"/>
      <scheme val="minor"/>
    </font>
    <font>
      <b/>
      <sz val="9"/>
      <name val="Aptos Narrow"/>
      <scheme val="minor"/>
    </font>
    <font>
      <b/>
      <sz val="9"/>
      <color theme="1"/>
      <name val="Aptos Narrow"/>
      <family val="2"/>
      <scheme val="minor"/>
    </font>
    <font>
      <b/>
      <sz val="9"/>
      <color rgb="FFFF0000"/>
      <name val="Aptos Narrow"/>
      <scheme val="minor"/>
    </font>
    <font>
      <b/>
      <sz val="9"/>
      <color rgb="FF00B0F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/>
    </xf>
    <xf numFmtId="14" fontId="3" fillId="0" borderId="12" xfId="0" applyNumberFormat="1" applyFont="1" applyBorder="1" applyAlignment="1">
      <alignment horizontal="center"/>
    </xf>
    <xf numFmtId="14" fontId="3" fillId="0" borderId="13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4" fontId="3" fillId="0" borderId="19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2" fillId="0" borderId="15" xfId="0" applyFont="1" applyBorder="1"/>
    <xf numFmtId="0" fontId="2" fillId="0" borderId="23" xfId="0" applyFont="1" applyBorder="1"/>
    <xf numFmtId="1" fontId="2" fillId="2" borderId="14" xfId="0" applyNumberFormat="1" applyFont="1" applyFill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1" fontId="6" fillId="0" borderId="15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2" fontId="7" fillId="0" borderId="14" xfId="0" applyNumberFormat="1" applyFont="1" applyBorder="1" applyAlignment="1">
      <alignment horizontal="center"/>
    </xf>
    <xf numFmtId="0" fontId="2" fillId="0" borderId="24" xfId="0" applyFont="1" applyBorder="1"/>
    <xf numFmtId="0" fontId="2" fillId="0" borderId="25" xfId="0" applyFont="1" applyBorder="1"/>
    <xf numFmtId="1" fontId="2" fillId="2" borderId="26" xfId="0" applyNumberFormat="1" applyFont="1" applyFill="1" applyBorder="1" applyAlignment="1">
      <alignment horizontal="center" vertical="center"/>
    </xf>
    <xf numFmtId="1" fontId="4" fillId="0" borderId="24" xfId="0" applyNumberFormat="1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1" fontId="2" fillId="0" borderId="29" xfId="0" applyNumberFormat="1" applyFont="1" applyBorder="1" applyAlignment="1">
      <alignment horizontal="center"/>
    </xf>
    <xf numFmtId="1" fontId="2" fillId="0" borderId="26" xfId="0" applyNumberFormat="1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2" fontId="7" fillId="0" borderId="26" xfId="0" applyNumberFormat="1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0" fontId="5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" fontId="2" fillId="0" borderId="38" xfId="0" applyNumberFormat="1" applyFont="1" applyBorder="1" applyAlignment="1">
      <alignment horizontal="center"/>
    </xf>
    <xf numFmtId="1" fontId="2" fillId="0" borderId="31" xfId="0" applyNumberFormat="1" applyFont="1" applyBorder="1" applyAlignment="1">
      <alignment horizontal="center"/>
    </xf>
    <xf numFmtId="0" fontId="2" fillId="0" borderId="19" xfId="0" applyFont="1" applyBorder="1"/>
    <xf numFmtId="0" fontId="2" fillId="0" borderId="33" xfId="0" applyFont="1" applyBorder="1"/>
    <xf numFmtId="1" fontId="2" fillId="2" borderId="21" xfId="0" applyNumberFormat="1" applyFont="1" applyFill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1" fontId="2" fillId="0" borderId="32" xfId="0" applyNumberFormat="1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2" fontId="7" fillId="0" borderId="21" xfId="0" applyNumberFormat="1" applyFont="1" applyBorder="1" applyAlignment="1">
      <alignment horizont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2" fontId="2" fillId="0" borderId="35" xfId="0" applyNumberFormat="1" applyFont="1" applyBorder="1" applyAlignment="1">
      <alignment horizontal="center" vertical="center"/>
    </xf>
    <xf numFmtId="2" fontId="7" fillId="0" borderId="27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/>
    <xf numFmtId="0" fontId="8" fillId="0" borderId="0" xfId="0" applyFont="1" applyAlignment="1"/>
    <xf numFmtId="0" fontId="5" fillId="0" borderId="0" xfId="0" applyFont="1" applyAlignment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73BD-DC86-AB41-8C3D-0D64B5D06628}">
  <dimension ref="A1:Q33"/>
  <sheetViews>
    <sheetView tabSelected="1" zoomScaleNormal="100" workbookViewId="0">
      <selection activeCell="O13" sqref="O13"/>
    </sheetView>
  </sheetViews>
  <sheetFormatPr baseColWidth="10" defaultColWidth="8" defaultRowHeight="13" x14ac:dyDescent="0.2"/>
  <cols>
    <col min="1" max="1" width="7.1640625" style="17" customWidth="1"/>
    <col min="2" max="3" width="8.6640625" style="17" customWidth="1"/>
    <col min="4" max="11" width="4.83203125" style="17" customWidth="1"/>
    <col min="12" max="12" width="6.83203125" style="17" customWidth="1"/>
    <col min="13" max="13" width="6.33203125" style="17" customWidth="1"/>
    <col min="14" max="15" width="5.6640625" style="17" customWidth="1"/>
    <col min="16" max="16" width="5.5" style="17" customWidth="1"/>
    <col min="17" max="17" width="10.6640625" style="17" customWidth="1"/>
    <col min="18" max="16384" width="8" style="17"/>
  </cols>
  <sheetData>
    <row r="1" spans="1:17" ht="16" customHeight="1" thickBot="1" x14ac:dyDescent="0.25">
      <c r="A1" s="9" t="s">
        <v>0</v>
      </c>
      <c r="B1" s="10"/>
      <c r="C1" s="11" t="s">
        <v>56</v>
      </c>
      <c r="D1" s="12" t="s">
        <v>1</v>
      </c>
      <c r="E1" s="13"/>
      <c r="F1" s="12" t="s">
        <v>51</v>
      </c>
      <c r="G1" s="13"/>
      <c r="H1" s="12" t="s">
        <v>54</v>
      </c>
      <c r="I1" s="13"/>
      <c r="J1" s="12" t="s">
        <v>55</v>
      </c>
      <c r="K1" s="13"/>
      <c r="L1" s="7" t="s">
        <v>2</v>
      </c>
      <c r="M1" s="14" t="s">
        <v>44</v>
      </c>
      <c r="N1" s="15"/>
      <c r="O1" s="15"/>
      <c r="P1" s="15"/>
      <c r="Q1" s="16"/>
    </row>
    <row r="2" spans="1:17" ht="16" customHeight="1" x14ac:dyDescent="0.15">
      <c r="A2" s="18"/>
      <c r="B2" s="19"/>
      <c r="C2" s="20"/>
      <c r="D2" s="21">
        <v>46146</v>
      </c>
      <c r="E2" s="22"/>
      <c r="F2" s="21">
        <v>46153</v>
      </c>
      <c r="G2" s="22"/>
      <c r="H2" s="21">
        <v>46160</v>
      </c>
      <c r="I2" s="22"/>
      <c r="J2" s="21">
        <v>46167</v>
      </c>
      <c r="K2" s="22"/>
      <c r="L2" s="8"/>
      <c r="M2" s="1" t="s">
        <v>3</v>
      </c>
      <c r="N2" s="2" t="s">
        <v>4</v>
      </c>
      <c r="O2" s="4" t="s">
        <v>5</v>
      </c>
      <c r="P2" s="1" t="s">
        <v>6</v>
      </c>
      <c r="Q2" s="1" t="s">
        <v>7</v>
      </c>
    </row>
    <row r="3" spans="1:17" ht="16" customHeight="1" thickBot="1" x14ac:dyDescent="0.2">
      <c r="A3" s="23"/>
      <c r="B3" s="24"/>
      <c r="C3" s="20"/>
      <c r="D3" s="25" t="s">
        <v>8</v>
      </c>
      <c r="E3" s="26" t="s">
        <v>9</v>
      </c>
      <c r="F3" s="25" t="s">
        <v>8</v>
      </c>
      <c r="G3" s="26" t="s">
        <v>9</v>
      </c>
      <c r="H3" s="25" t="s">
        <v>8</v>
      </c>
      <c r="I3" s="26" t="s">
        <v>9</v>
      </c>
      <c r="J3" s="25" t="s">
        <v>8</v>
      </c>
      <c r="K3" s="26" t="s">
        <v>9</v>
      </c>
      <c r="L3" s="8"/>
      <c r="M3" s="6"/>
      <c r="N3" s="3"/>
      <c r="O3" s="5"/>
      <c r="P3" s="6"/>
      <c r="Q3" s="6"/>
    </row>
    <row r="4" spans="1:17" x14ac:dyDescent="0.2">
      <c r="A4" s="27" t="s">
        <v>41</v>
      </c>
      <c r="B4" s="28" t="s">
        <v>42</v>
      </c>
      <c r="C4" s="29">
        <v>10</v>
      </c>
      <c r="D4" s="30">
        <v>39</v>
      </c>
      <c r="E4" s="31">
        <v>25</v>
      </c>
      <c r="F4" s="32">
        <v>37</v>
      </c>
      <c r="G4" s="31">
        <v>27</v>
      </c>
      <c r="H4" s="33"/>
      <c r="I4" s="31"/>
      <c r="J4" s="33"/>
      <c r="K4" s="31"/>
      <c r="L4" s="34">
        <f>D4+F4+H4+J4</f>
        <v>76</v>
      </c>
      <c r="M4" s="35">
        <f>COUNTIF(D4:J4, "&gt;32")</f>
        <v>2</v>
      </c>
      <c r="N4" s="36">
        <v>1</v>
      </c>
      <c r="O4" s="37">
        <v>1</v>
      </c>
      <c r="P4" s="34">
        <f>E4+G4+I4+K4+N4+O4</f>
        <v>54</v>
      </c>
      <c r="Q4" s="38">
        <f>P4/M4</f>
        <v>27</v>
      </c>
    </row>
    <row r="5" spans="1:17" x14ac:dyDescent="0.2">
      <c r="A5" s="39" t="s">
        <v>17</v>
      </c>
      <c r="B5" s="40" t="s">
        <v>11</v>
      </c>
      <c r="C5" s="41">
        <v>22</v>
      </c>
      <c r="D5" s="42">
        <v>54</v>
      </c>
      <c r="E5" s="43">
        <v>22</v>
      </c>
      <c r="F5" s="42">
        <v>50</v>
      </c>
      <c r="G5" s="43">
        <v>26</v>
      </c>
      <c r="H5" s="42"/>
      <c r="I5" s="43"/>
      <c r="J5" s="42"/>
      <c r="K5" s="43"/>
      <c r="L5" s="44">
        <f>D5+F5+H5+J5</f>
        <v>104</v>
      </c>
      <c r="M5" s="45">
        <f>COUNTIF(D5:J5, "&gt;32")</f>
        <v>2</v>
      </c>
      <c r="N5" s="46"/>
      <c r="O5" s="47"/>
      <c r="P5" s="44">
        <f>E5+G5+I5+K5+N5+O5</f>
        <v>48</v>
      </c>
      <c r="Q5" s="48">
        <f>P5/M5</f>
        <v>24</v>
      </c>
    </row>
    <row r="6" spans="1:17" x14ac:dyDescent="0.2">
      <c r="A6" s="39" t="s">
        <v>20</v>
      </c>
      <c r="B6" s="40" t="s">
        <v>15</v>
      </c>
      <c r="C6" s="41">
        <v>18</v>
      </c>
      <c r="D6" s="42"/>
      <c r="E6" s="43"/>
      <c r="F6" s="42"/>
      <c r="G6" s="43"/>
      <c r="H6" s="42"/>
      <c r="I6" s="43"/>
      <c r="J6" s="42">
        <v>50</v>
      </c>
      <c r="K6" s="43">
        <v>22</v>
      </c>
      <c r="L6" s="44">
        <f>D6+F6+H6+J6</f>
        <v>50</v>
      </c>
      <c r="M6" s="45">
        <f>COUNTIF(D6:J6, "&gt;32")</f>
        <v>1</v>
      </c>
      <c r="N6" s="46"/>
      <c r="O6" s="47"/>
      <c r="P6" s="44">
        <f>E6+G6+I6+K6+N6+O6</f>
        <v>22</v>
      </c>
      <c r="Q6" s="48">
        <f>P6/M6</f>
        <v>22</v>
      </c>
    </row>
    <row r="7" spans="1:17" x14ac:dyDescent="0.2">
      <c r="A7" s="39" t="s">
        <v>12</v>
      </c>
      <c r="B7" s="40" t="s">
        <v>13</v>
      </c>
      <c r="C7" s="41">
        <v>11</v>
      </c>
      <c r="D7" s="49">
        <v>44</v>
      </c>
      <c r="E7" s="43">
        <v>21</v>
      </c>
      <c r="F7" s="49">
        <v>45</v>
      </c>
      <c r="G7" s="43">
        <v>20</v>
      </c>
      <c r="H7" s="49"/>
      <c r="I7" s="43"/>
      <c r="J7" s="49">
        <v>42</v>
      </c>
      <c r="K7" s="43">
        <v>23</v>
      </c>
      <c r="L7" s="44">
        <f>D7+F7+H7+J7</f>
        <v>131</v>
      </c>
      <c r="M7" s="45">
        <f>COUNTIF(D7:J7, "&gt;32")</f>
        <v>3</v>
      </c>
      <c r="N7" s="46"/>
      <c r="O7" s="47">
        <v>1</v>
      </c>
      <c r="P7" s="44">
        <f>E7+G7+I7+K7+N7+O7</f>
        <v>65</v>
      </c>
      <c r="Q7" s="48">
        <f>P7/M7</f>
        <v>21.666666666666668</v>
      </c>
    </row>
    <row r="8" spans="1:17" x14ac:dyDescent="0.2">
      <c r="A8" s="39" t="s">
        <v>10</v>
      </c>
      <c r="B8" s="40" t="s">
        <v>11</v>
      </c>
      <c r="C8" s="41">
        <v>15</v>
      </c>
      <c r="D8" s="50">
        <v>47</v>
      </c>
      <c r="E8" s="43">
        <v>22</v>
      </c>
      <c r="F8" s="42">
        <v>51</v>
      </c>
      <c r="G8" s="43">
        <v>18</v>
      </c>
      <c r="H8" s="42"/>
      <c r="I8" s="43"/>
      <c r="J8" s="42"/>
      <c r="K8" s="43"/>
      <c r="L8" s="44">
        <f>D8+F8+H8+J8</f>
        <v>98</v>
      </c>
      <c r="M8" s="45">
        <f>COUNTIF(D8:J8, "&gt;32")</f>
        <v>2</v>
      </c>
      <c r="N8" s="46">
        <v>1</v>
      </c>
      <c r="O8" s="47"/>
      <c r="P8" s="44">
        <f>E8+G8+I8+K8+N8+O8</f>
        <v>41</v>
      </c>
      <c r="Q8" s="48">
        <f>P8/M8</f>
        <v>20.5</v>
      </c>
    </row>
    <row r="9" spans="1:17" x14ac:dyDescent="0.2">
      <c r="A9" s="39" t="s">
        <v>34</v>
      </c>
      <c r="B9" s="40" t="s">
        <v>35</v>
      </c>
      <c r="C9" s="41">
        <v>1</v>
      </c>
      <c r="D9" s="51">
        <v>35</v>
      </c>
      <c r="E9" s="43">
        <v>20</v>
      </c>
      <c r="F9" s="52">
        <v>35</v>
      </c>
      <c r="G9" s="43">
        <v>20</v>
      </c>
      <c r="H9" s="52">
        <v>39</v>
      </c>
      <c r="I9" s="43">
        <v>16</v>
      </c>
      <c r="J9" s="52">
        <v>36</v>
      </c>
      <c r="K9" s="43">
        <v>19</v>
      </c>
      <c r="L9" s="44">
        <f>D9+F9+H9+J9</f>
        <v>145</v>
      </c>
      <c r="M9" s="45">
        <f>COUNTIF(D9:J9, "&gt;32")</f>
        <v>4</v>
      </c>
      <c r="N9" s="46">
        <v>1</v>
      </c>
      <c r="O9" s="47">
        <v>5</v>
      </c>
      <c r="P9" s="44">
        <f>E9+G9+I9+K9+N9+O9</f>
        <v>81</v>
      </c>
      <c r="Q9" s="48">
        <f>P9/M9</f>
        <v>20.25</v>
      </c>
    </row>
    <row r="10" spans="1:17" x14ac:dyDescent="0.2">
      <c r="A10" s="39" t="s">
        <v>32</v>
      </c>
      <c r="B10" s="40" t="s">
        <v>33</v>
      </c>
      <c r="C10" s="41">
        <v>13</v>
      </c>
      <c r="D10" s="42"/>
      <c r="E10" s="43"/>
      <c r="F10" s="42"/>
      <c r="G10" s="43"/>
      <c r="H10" s="42">
        <v>47</v>
      </c>
      <c r="I10" s="43">
        <v>20</v>
      </c>
      <c r="J10" s="42">
        <v>49</v>
      </c>
      <c r="K10" s="43">
        <v>18</v>
      </c>
      <c r="L10" s="44">
        <f>D10+F10+H10+J10</f>
        <v>96</v>
      </c>
      <c r="M10" s="45">
        <f>COUNTIF(D10:J10, "&gt;32")</f>
        <v>2</v>
      </c>
      <c r="N10" s="46"/>
      <c r="O10" s="47">
        <v>1</v>
      </c>
      <c r="P10" s="44">
        <f>E10+G10+I10+K10+N10+O10</f>
        <v>39</v>
      </c>
      <c r="Q10" s="48">
        <f>P10/M10</f>
        <v>19.5</v>
      </c>
    </row>
    <row r="11" spans="1:17" x14ac:dyDescent="0.2">
      <c r="A11" s="39" t="s">
        <v>18</v>
      </c>
      <c r="B11" s="40" t="s">
        <v>19</v>
      </c>
      <c r="C11" s="41">
        <v>9</v>
      </c>
      <c r="D11" s="42">
        <v>42</v>
      </c>
      <c r="E11" s="43">
        <v>21</v>
      </c>
      <c r="F11" s="42">
        <v>40</v>
      </c>
      <c r="G11" s="43">
        <v>23</v>
      </c>
      <c r="H11" s="42">
        <v>50</v>
      </c>
      <c r="I11" s="43">
        <v>13</v>
      </c>
      <c r="J11" s="42"/>
      <c r="K11" s="43"/>
      <c r="L11" s="44">
        <f>D11+F11+H11+J11</f>
        <v>132</v>
      </c>
      <c r="M11" s="45">
        <f>COUNTIF(D11:J11, "&gt;32")</f>
        <v>3</v>
      </c>
      <c r="N11" s="46"/>
      <c r="O11" s="47">
        <v>1</v>
      </c>
      <c r="P11" s="44">
        <f>E11+G11+I11+K11+N11+O11</f>
        <v>58</v>
      </c>
      <c r="Q11" s="48">
        <f>P11/M11</f>
        <v>19.333333333333332</v>
      </c>
    </row>
    <row r="12" spans="1:17" x14ac:dyDescent="0.2">
      <c r="A12" s="39" t="s">
        <v>25</v>
      </c>
      <c r="B12" s="40" t="s">
        <v>26</v>
      </c>
      <c r="C12" s="41">
        <v>6</v>
      </c>
      <c r="D12" s="42">
        <v>43</v>
      </c>
      <c r="E12" s="43">
        <v>17</v>
      </c>
      <c r="F12" s="50">
        <v>40</v>
      </c>
      <c r="G12" s="43">
        <v>20</v>
      </c>
      <c r="H12" s="42">
        <v>43</v>
      </c>
      <c r="I12" s="43">
        <v>17</v>
      </c>
      <c r="J12" s="42">
        <v>40</v>
      </c>
      <c r="K12" s="43">
        <v>20</v>
      </c>
      <c r="L12" s="44">
        <f>D12+F12+H12+J12</f>
        <v>166</v>
      </c>
      <c r="M12" s="45">
        <f>COUNTIF(D12:J12, "&gt;32")</f>
        <v>4</v>
      </c>
      <c r="N12" s="46">
        <v>1</v>
      </c>
      <c r="O12" s="47">
        <v>2</v>
      </c>
      <c r="P12" s="44">
        <f>E12+G12+I12+K12+N12+O12</f>
        <v>77</v>
      </c>
      <c r="Q12" s="48">
        <f>P12/M12</f>
        <v>19.25</v>
      </c>
    </row>
    <row r="13" spans="1:17" x14ac:dyDescent="0.2">
      <c r="A13" s="39" t="s">
        <v>23</v>
      </c>
      <c r="B13" s="40" t="s">
        <v>24</v>
      </c>
      <c r="C13" s="41">
        <v>23</v>
      </c>
      <c r="D13" s="42">
        <v>57</v>
      </c>
      <c r="E13" s="43">
        <v>20</v>
      </c>
      <c r="F13" s="42">
        <v>58</v>
      </c>
      <c r="G13" s="43">
        <v>19</v>
      </c>
      <c r="H13" s="42">
        <v>59</v>
      </c>
      <c r="I13" s="43">
        <v>18</v>
      </c>
      <c r="J13" s="42"/>
      <c r="K13" s="43"/>
      <c r="L13" s="44">
        <f>D13+F13+H13+J13</f>
        <v>174</v>
      </c>
      <c r="M13" s="45">
        <f>COUNTIF(D13:J13, "&gt;32")</f>
        <v>3</v>
      </c>
      <c r="N13" s="46"/>
      <c r="O13" s="47"/>
      <c r="P13" s="44">
        <f>E13+G13+I13+K13+N13+O13</f>
        <v>57</v>
      </c>
      <c r="Q13" s="48">
        <f>P13/M13</f>
        <v>19</v>
      </c>
    </row>
    <row r="14" spans="1:17" x14ac:dyDescent="0.2">
      <c r="A14" s="39" t="s">
        <v>10</v>
      </c>
      <c r="B14" s="40" t="s">
        <v>43</v>
      </c>
      <c r="C14" s="41">
        <v>13</v>
      </c>
      <c r="D14" s="42">
        <v>50</v>
      </c>
      <c r="E14" s="43">
        <v>17</v>
      </c>
      <c r="F14" s="42">
        <v>46</v>
      </c>
      <c r="G14" s="43">
        <v>21</v>
      </c>
      <c r="H14" s="42"/>
      <c r="I14" s="43"/>
      <c r="J14" s="42">
        <v>51</v>
      </c>
      <c r="K14" s="43">
        <v>16</v>
      </c>
      <c r="L14" s="44">
        <f>D14+F14+H14+J14</f>
        <v>147</v>
      </c>
      <c r="M14" s="45">
        <f>COUNTIF(D14:J14, "&gt;32")</f>
        <v>3</v>
      </c>
      <c r="N14" s="46"/>
      <c r="O14" s="47"/>
      <c r="P14" s="44">
        <f>E14+G14+I14+K14+N14+O14</f>
        <v>54</v>
      </c>
      <c r="Q14" s="48">
        <f>P14/M14</f>
        <v>18</v>
      </c>
    </row>
    <row r="15" spans="1:17" x14ac:dyDescent="0.2">
      <c r="A15" s="39" t="s">
        <v>30</v>
      </c>
      <c r="B15" s="40" t="s">
        <v>38</v>
      </c>
      <c r="C15" s="41">
        <v>12</v>
      </c>
      <c r="D15" s="42"/>
      <c r="E15" s="43"/>
      <c r="F15" s="42"/>
      <c r="G15" s="43"/>
      <c r="H15" s="42">
        <v>51</v>
      </c>
      <c r="I15" s="43">
        <v>15</v>
      </c>
      <c r="J15" s="50">
        <v>47</v>
      </c>
      <c r="K15" s="43">
        <v>19</v>
      </c>
      <c r="L15" s="44">
        <f>D15+F15+H15+J15</f>
        <v>98</v>
      </c>
      <c r="M15" s="45">
        <f>COUNTIF(D15:J15, "&gt;32")</f>
        <v>2</v>
      </c>
      <c r="N15" s="46">
        <v>1</v>
      </c>
      <c r="O15" s="47"/>
      <c r="P15" s="44">
        <f>E15+G15+I15+K15+N15+O15</f>
        <v>35</v>
      </c>
      <c r="Q15" s="48">
        <f>P15/M15</f>
        <v>17.5</v>
      </c>
    </row>
    <row r="16" spans="1:17" x14ac:dyDescent="0.2">
      <c r="A16" s="39" t="s">
        <v>39</v>
      </c>
      <c r="B16" s="40" t="s">
        <v>40</v>
      </c>
      <c r="C16" s="41">
        <v>12</v>
      </c>
      <c r="D16" s="42"/>
      <c r="E16" s="47"/>
      <c r="F16" s="42">
        <v>52</v>
      </c>
      <c r="G16" s="47">
        <v>14</v>
      </c>
      <c r="H16" s="50">
        <v>51</v>
      </c>
      <c r="I16" s="43">
        <v>15</v>
      </c>
      <c r="J16" s="42">
        <v>47</v>
      </c>
      <c r="K16" s="43">
        <v>19</v>
      </c>
      <c r="L16" s="44">
        <f>D16+F16+H16+J16</f>
        <v>150</v>
      </c>
      <c r="M16" s="45">
        <f>COUNTIF(D16:J16, "&gt;32")</f>
        <v>3</v>
      </c>
      <c r="N16" s="46">
        <v>1</v>
      </c>
      <c r="O16" s="47"/>
      <c r="P16" s="44">
        <f>E16+G16+I16+K16+N16+O16</f>
        <v>49</v>
      </c>
      <c r="Q16" s="48">
        <f>P16/M16</f>
        <v>16.333333333333332</v>
      </c>
    </row>
    <row r="17" spans="1:17" x14ac:dyDescent="0.2">
      <c r="A17" s="39" t="s">
        <v>30</v>
      </c>
      <c r="B17" s="40" t="s">
        <v>31</v>
      </c>
      <c r="C17" s="41">
        <v>14</v>
      </c>
      <c r="D17" s="42"/>
      <c r="E17" s="43"/>
      <c r="F17" s="42"/>
      <c r="G17" s="43"/>
      <c r="H17" s="42"/>
      <c r="I17" s="43"/>
      <c r="J17" s="42">
        <v>52</v>
      </c>
      <c r="K17" s="43">
        <v>16</v>
      </c>
      <c r="L17" s="44">
        <f>D17+F17+H17+J17</f>
        <v>52</v>
      </c>
      <c r="M17" s="45">
        <f>COUNTIF(D17:J17, "&gt;32")</f>
        <v>1</v>
      </c>
      <c r="N17" s="46"/>
      <c r="O17" s="47"/>
      <c r="P17" s="44">
        <f>E17+G17+I17+K17+N17+O17</f>
        <v>16</v>
      </c>
      <c r="Q17" s="48">
        <f>P17/M17</f>
        <v>16</v>
      </c>
    </row>
    <row r="18" spans="1:17" x14ac:dyDescent="0.2">
      <c r="A18" s="39" t="s">
        <v>26</v>
      </c>
      <c r="B18" s="40" t="s">
        <v>53</v>
      </c>
      <c r="C18" s="41" t="s">
        <v>27</v>
      </c>
      <c r="D18" s="42"/>
      <c r="E18" s="43"/>
      <c r="F18" s="42">
        <v>35</v>
      </c>
      <c r="G18" s="43"/>
      <c r="H18" s="42"/>
      <c r="I18" s="43"/>
      <c r="J18" s="42"/>
      <c r="K18" s="43"/>
      <c r="L18" s="44">
        <f>D18+F18+H18+J18</f>
        <v>35</v>
      </c>
      <c r="M18" s="45">
        <f>COUNTIF(D18:J18, "&gt;32")</f>
        <v>1</v>
      </c>
      <c r="N18" s="46"/>
      <c r="O18" s="47">
        <v>2</v>
      </c>
      <c r="P18" s="44">
        <f>E18+G18+I18+K18+N18+O18</f>
        <v>2</v>
      </c>
      <c r="Q18" s="48">
        <f>P18/M18</f>
        <v>2</v>
      </c>
    </row>
    <row r="19" spans="1:17" x14ac:dyDescent="0.2">
      <c r="A19" s="39" t="s">
        <v>45</v>
      </c>
      <c r="B19" s="40" t="s">
        <v>46</v>
      </c>
      <c r="C19" s="41" t="s">
        <v>27</v>
      </c>
      <c r="D19" s="42">
        <v>48</v>
      </c>
      <c r="E19" s="43"/>
      <c r="F19" s="42">
        <v>48</v>
      </c>
      <c r="G19" s="43"/>
      <c r="H19" s="42"/>
      <c r="I19" s="43"/>
      <c r="J19" s="42"/>
      <c r="K19" s="43"/>
      <c r="L19" s="44">
        <f>D19+F19+H19+J19</f>
        <v>96</v>
      </c>
      <c r="M19" s="45">
        <f>COUNTIF(D19:J19, "&gt;32")</f>
        <v>2</v>
      </c>
      <c r="N19" s="46"/>
      <c r="O19" s="47"/>
      <c r="P19" s="44">
        <f>E19+G19+I19+K19+N19+O19</f>
        <v>0</v>
      </c>
      <c r="Q19" s="48">
        <f>P19/M19</f>
        <v>0</v>
      </c>
    </row>
    <row r="20" spans="1:17" x14ac:dyDescent="0.2">
      <c r="A20" s="39" t="s">
        <v>49</v>
      </c>
      <c r="B20" s="40" t="s">
        <v>50</v>
      </c>
      <c r="C20" s="41" t="s">
        <v>27</v>
      </c>
      <c r="D20" s="42">
        <v>58</v>
      </c>
      <c r="E20" s="43"/>
      <c r="F20" s="42">
        <v>61</v>
      </c>
      <c r="G20" s="43"/>
      <c r="H20" s="42"/>
      <c r="I20" s="43"/>
      <c r="J20" s="42"/>
      <c r="K20" s="43"/>
      <c r="L20" s="44">
        <f>D20+F20+H20+J20</f>
        <v>119</v>
      </c>
      <c r="M20" s="45">
        <f>COUNTIF(D20:J20, "&gt;32")</f>
        <v>2</v>
      </c>
      <c r="N20" s="46"/>
      <c r="O20" s="47"/>
      <c r="P20" s="44">
        <f>E20+G20+I20+K20+N20+O20</f>
        <v>0</v>
      </c>
      <c r="Q20" s="48">
        <f>P20/M20</f>
        <v>0</v>
      </c>
    </row>
    <row r="21" spans="1:17" x14ac:dyDescent="0.2">
      <c r="A21" s="39" t="s">
        <v>47</v>
      </c>
      <c r="B21" s="40" t="s">
        <v>48</v>
      </c>
      <c r="C21" s="41" t="s">
        <v>27</v>
      </c>
      <c r="D21" s="42">
        <v>51</v>
      </c>
      <c r="E21" s="43"/>
      <c r="F21" s="42"/>
      <c r="G21" s="43"/>
      <c r="H21" s="42"/>
      <c r="I21" s="43"/>
      <c r="J21" s="42"/>
      <c r="K21" s="43"/>
      <c r="L21" s="44">
        <f>D21+F21+H21+J21</f>
        <v>51</v>
      </c>
      <c r="M21" s="45">
        <f>COUNTIF(D21:J21, "&gt;32")</f>
        <v>1</v>
      </c>
      <c r="N21" s="46"/>
      <c r="O21" s="47"/>
      <c r="P21" s="44">
        <f>E21+G21+I21+K21+N21+O21</f>
        <v>0</v>
      </c>
      <c r="Q21" s="48">
        <f>P21/M21</f>
        <v>0</v>
      </c>
    </row>
    <row r="22" spans="1:17" x14ac:dyDescent="0.2">
      <c r="A22" s="39" t="s">
        <v>11</v>
      </c>
      <c r="B22" s="40" t="s">
        <v>52</v>
      </c>
      <c r="C22" s="41" t="s">
        <v>27</v>
      </c>
      <c r="D22" s="42"/>
      <c r="E22" s="43"/>
      <c r="F22" s="42">
        <v>52</v>
      </c>
      <c r="G22" s="43"/>
      <c r="H22" s="42"/>
      <c r="I22" s="43"/>
      <c r="J22" s="42"/>
      <c r="K22" s="43"/>
      <c r="L22" s="44">
        <f>D22+F22+H22+J22</f>
        <v>52</v>
      </c>
      <c r="M22" s="45">
        <f>COUNTIF(D22:J22, "&gt;32")</f>
        <v>1</v>
      </c>
      <c r="N22" s="46"/>
      <c r="O22" s="47"/>
      <c r="P22" s="44">
        <f>E22+G22+I22+K22+N22+O22</f>
        <v>0</v>
      </c>
      <c r="Q22" s="48">
        <f>P22/M22</f>
        <v>0</v>
      </c>
    </row>
    <row r="23" spans="1:17" x14ac:dyDescent="0.2">
      <c r="A23" s="39" t="s">
        <v>21</v>
      </c>
      <c r="B23" s="40" t="s">
        <v>22</v>
      </c>
      <c r="C23" s="41">
        <v>18</v>
      </c>
      <c r="D23" s="42"/>
      <c r="E23" s="43"/>
      <c r="F23" s="42"/>
      <c r="G23" s="43"/>
      <c r="H23" s="42"/>
      <c r="I23" s="43"/>
      <c r="J23" s="42"/>
      <c r="K23" s="43"/>
      <c r="L23" s="44">
        <f>D23+F23+H23+J23</f>
        <v>0</v>
      </c>
      <c r="M23" s="45">
        <f>COUNTIF(D23:J23, "&gt;32")</f>
        <v>0</v>
      </c>
      <c r="N23" s="46"/>
      <c r="O23" s="47"/>
      <c r="P23" s="44">
        <f>E23+G23+I23+K23+N23+O23</f>
        <v>0</v>
      </c>
      <c r="Q23" s="48"/>
    </row>
    <row r="24" spans="1:17" x14ac:dyDescent="0.2">
      <c r="A24" s="39" t="s">
        <v>12</v>
      </c>
      <c r="B24" s="40" t="s">
        <v>16</v>
      </c>
      <c r="C24" s="41">
        <v>6</v>
      </c>
      <c r="D24" s="42"/>
      <c r="E24" s="43"/>
      <c r="F24" s="42"/>
      <c r="G24" s="43"/>
      <c r="H24" s="42"/>
      <c r="I24" s="43"/>
      <c r="J24" s="42"/>
      <c r="K24" s="43"/>
      <c r="L24" s="44">
        <f>D24+F24+H24+J24</f>
        <v>0</v>
      </c>
      <c r="M24" s="45">
        <f>COUNTIF(D24:J24, "&gt;32")</f>
        <v>0</v>
      </c>
      <c r="N24" s="46"/>
      <c r="O24" s="47"/>
      <c r="P24" s="44">
        <f>E24+G24+I24+K24+N24+O24</f>
        <v>0</v>
      </c>
      <c r="Q24" s="48"/>
    </row>
    <row r="25" spans="1:17" x14ac:dyDescent="0.2">
      <c r="A25" s="39" t="s">
        <v>28</v>
      </c>
      <c r="B25" s="40" t="s">
        <v>29</v>
      </c>
      <c r="C25" s="41">
        <v>11</v>
      </c>
      <c r="D25" s="42"/>
      <c r="E25" s="43"/>
      <c r="F25" s="42"/>
      <c r="G25" s="43"/>
      <c r="H25" s="42"/>
      <c r="I25" s="43"/>
      <c r="J25" s="42"/>
      <c r="K25" s="43"/>
      <c r="L25" s="44">
        <f>D25+F25+H25+J25</f>
        <v>0</v>
      </c>
      <c r="M25" s="45">
        <f>COUNTIF(D25:J25, "&gt;32")</f>
        <v>0</v>
      </c>
      <c r="N25" s="53"/>
      <c r="O25" s="54"/>
      <c r="P25" s="44">
        <f>E25+G25+I25+K25+N25+O25</f>
        <v>0</v>
      </c>
      <c r="Q25" s="48"/>
    </row>
    <row r="26" spans="1:17" x14ac:dyDescent="0.2">
      <c r="A26" s="39" t="s">
        <v>36</v>
      </c>
      <c r="B26" s="40" t="s">
        <v>37</v>
      </c>
      <c r="C26" s="41">
        <v>11</v>
      </c>
      <c r="D26" s="42"/>
      <c r="E26" s="43"/>
      <c r="F26" s="42"/>
      <c r="G26" s="43"/>
      <c r="H26" s="42"/>
      <c r="I26" s="43"/>
      <c r="J26" s="42"/>
      <c r="K26" s="43"/>
      <c r="L26" s="44">
        <f>D26+F26+H26+J26</f>
        <v>0</v>
      </c>
      <c r="M26" s="45">
        <f>COUNTIF(D26:J26, "&gt;32")</f>
        <v>0</v>
      </c>
      <c r="N26" s="46"/>
      <c r="O26" s="47"/>
      <c r="P26" s="44">
        <f>E26+G26+I26+K26+N26+O26</f>
        <v>0</v>
      </c>
      <c r="Q26" s="48"/>
    </row>
    <row r="27" spans="1:17" ht="14" thickBot="1" x14ac:dyDescent="0.25">
      <c r="A27" s="55" t="s">
        <v>14</v>
      </c>
      <c r="B27" s="56" t="s">
        <v>15</v>
      </c>
      <c r="C27" s="57">
        <v>17</v>
      </c>
      <c r="D27" s="58"/>
      <c r="E27" s="59"/>
      <c r="F27" s="58"/>
      <c r="G27" s="60"/>
      <c r="H27" s="58"/>
      <c r="I27" s="60"/>
      <c r="J27" s="58"/>
      <c r="K27" s="60"/>
      <c r="L27" s="61">
        <f>D27+F27+H27+J27</f>
        <v>0</v>
      </c>
      <c r="M27" s="62">
        <f>COUNTIF(D27:H27, "&gt;32")</f>
        <v>0</v>
      </c>
      <c r="N27" s="63"/>
      <c r="O27" s="64"/>
      <c r="P27" s="61">
        <f>E27+G27+I27+K27+N27+O27</f>
        <v>0</v>
      </c>
      <c r="Q27" s="65"/>
    </row>
    <row r="28" spans="1:17" s="70" customFormat="1" ht="14" thickBot="1" x14ac:dyDescent="0.25">
      <c r="A28" s="66"/>
      <c r="B28" s="67"/>
      <c r="C28" s="67"/>
      <c r="D28" s="68">
        <f>AVERAGEIF(D4:D27,"&gt;0")</f>
        <v>47.333333333333336</v>
      </c>
      <c r="E28" s="68"/>
      <c r="F28" s="68">
        <f>AVERAGEIF(F4:F27,"&gt;0")</f>
        <v>46.428571428571431</v>
      </c>
      <c r="G28" s="68"/>
      <c r="H28" s="68">
        <f>AVERAGEIF(H4:H27,"&gt;0")</f>
        <v>48.571428571428569</v>
      </c>
      <c r="I28" s="68"/>
      <c r="J28" s="68">
        <f>AVERAGEIF(J4:J27,"&gt;0")</f>
        <v>46</v>
      </c>
      <c r="K28" s="68"/>
      <c r="L28" s="69"/>
    </row>
    <row r="30" spans="1:17" x14ac:dyDescent="0.2">
      <c r="D30" s="71" t="s">
        <v>58</v>
      </c>
      <c r="E30" s="71"/>
      <c r="F30" s="73" t="s">
        <v>57</v>
      </c>
    </row>
    <row r="31" spans="1:17" x14ac:dyDescent="0.2">
      <c r="D31" s="71" t="s">
        <v>59</v>
      </c>
      <c r="E31" s="71"/>
      <c r="F31" s="74" t="s">
        <v>60</v>
      </c>
    </row>
    <row r="32" spans="1:17" x14ac:dyDescent="0.2">
      <c r="D32" s="71" t="s">
        <v>61</v>
      </c>
      <c r="E32" s="71"/>
      <c r="F32" s="75" t="s">
        <v>62</v>
      </c>
    </row>
    <row r="33" spans="4:6" x14ac:dyDescent="0.2">
      <c r="D33" s="72"/>
      <c r="E33" s="72"/>
      <c r="F33" s="72"/>
    </row>
  </sheetData>
  <sortState xmlns:xlrd2="http://schemas.microsoft.com/office/spreadsheetml/2017/richdata2" ref="A4:Q27">
    <sortCondition descending="1" ref="Q4:Q27"/>
    <sortCondition descending="1" ref="P4:P27"/>
    <sortCondition descending="1" ref="M4:M27"/>
    <sortCondition ref="B4:B27"/>
  </sortState>
  <mergeCells count="20">
    <mergeCell ref="D30:E30"/>
    <mergeCell ref="D31:E31"/>
    <mergeCell ref="D32:E32"/>
    <mergeCell ref="A1:B3"/>
    <mergeCell ref="C1:C3"/>
    <mergeCell ref="D1:E1"/>
    <mergeCell ref="D2:E2"/>
    <mergeCell ref="L1:L3"/>
    <mergeCell ref="F1:G1"/>
    <mergeCell ref="F2:G2"/>
    <mergeCell ref="H1:I1"/>
    <mergeCell ref="H2:I2"/>
    <mergeCell ref="J1:K1"/>
    <mergeCell ref="J2:K2"/>
    <mergeCell ref="M1:Q1"/>
    <mergeCell ref="M2:M3"/>
    <mergeCell ref="N2:N3"/>
    <mergeCell ref="O2:O3"/>
    <mergeCell ref="P2:P3"/>
    <mergeCell ref="Q2:Q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Hutter</dc:creator>
  <cp:lastModifiedBy>Hutter, Mark - CTR</cp:lastModifiedBy>
  <cp:lastPrinted>2025-10-02T00:18:57Z</cp:lastPrinted>
  <dcterms:created xsi:type="dcterms:W3CDTF">2025-05-15T01:18:57Z</dcterms:created>
  <dcterms:modified xsi:type="dcterms:W3CDTF">2026-05-26T23:26:45Z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340d3b-fbfb-4e15-bff8-3c144843a4d1_Enabled">
    <vt:lpwstr>true</vt:lpwstr>
  </property>
  <property fmtid="{D5CDD505-2E9C-101B-9397-08002B2CF9AE}" pid="3" name="MSIP_Label_c7340d3b-fbfb-4e15-bff8-3c144843a4d1_SetDate">
    <vt:lpwstr>2025-06-16T15:11:16Z</vt:lpwstr>
  </property>
  <property fmtid="{D5CDD505-2E9C-101B-9397-08002B2CF9AE}" pid="4" name="MSIP_Label_c7340d3b-fbfb-4e15-bff8-3c144843a4d1_Method">
    <vt:lpwstr>Privileged</vt:lpwstr>
  </property>
  <property fmtid="{D5CDD505-2E9C-101B-9397-08002B2CF9AE}" pid="5" name="MSIP_Label_c7340d3b-fbfb-4e15-bff8-3c144843a4d1_Name">
    <vt:lpwstr>Non-Business</vt:lpwstr>
  </property>
  <property fmtid="{D5CDD505-2E9C-101B-9397-08002B2CF9AE}" pid="6" name="MSIP_Label_c7340d3b-fbfb-4e15-bff8-3c144843a4d1_SiteId">
    <vt:lpwstr>c35286b9-d1b3-4008-9a9f-f2005aaaaa30</vt:lpwstr>
  </property>
  <property fmtid="{D5CDD505-2E9C-101B-9397-08002B2CF9AE}" pid="7" name="MSIP_Label_c7340d3b-fbfb-4e15-bff8-3c144843a4d1_ActionId">
    <vt:lpwstr>61766b81-92a9-4ebd-a087-ded9312ea5bd</vt:lpwstr>
  </property>
  <property fmtid="{D5CDD505-2E9C-101B-9397-08002B2CF9AE}" pid="8" name="MSIP_Label_c7340d3b-fbfb-4e15-bff8-3c144843a4d1_ContentBits">
    <vt:lpwstr>0</vt:lpwstr>
  </property>
</Properties>
</file>