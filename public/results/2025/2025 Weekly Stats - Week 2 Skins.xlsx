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84882CB7-A107-4A43-A611-AA751ACBA6C4}" xr6:coauthVersionLast="47" xr6:coauthVersionMax="47" xr10:uidLastSave="{00000000-0000-0000-0000-000000000000}"/>
  <bookViews>
    <workbookView xWindow="2840" yWindow="1440" windowWidth="31180" windowHeight="18880" firstSheet="1" activeTab="2" xr2:uid="{00000000-000D-0000-FFFF-FFFF00000000}"/>
  </bookViews>
  <sheets>
    <sheet name="Template" sheetId="14" r:id="rId1"/>
    <sheet name="Week 1" sheetId="7" r:id="rId2"/>
    <sheet name="Week 2" sheetId="4" r:id="rId3"/>
    <sheet name="Week 3" sheetId="15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5" l="1"/>
  <c r="B7" i="15"/>
  <c r="C7" i="7"/>
  <c r="B7" i="7"/>
  <c r="D7" i="4"/>
  <c r="R26" i="4"/>
  <c r="R25" i="4"/>
  <c r="R23" i="4"/>
  <c r="R22" i="4"/>
  <c r="R20" i="4"/>
  <c r="R19" i="4"/>
  <c r="R17" i="4"/>
  <c r="R16" i="4"/>
  <c r="R14" i="4"/>
  <c r="R11" i="4"/>
  <c r="R13" i="4"/>
  <c r="R8" i="4"/>
  <c r="R10" i="4"/>
  <c r="R7" i="4"/>
  <c r="R5" i="4"/>
  <c r="R4" i="4"/>
  <c r="K20" i="14" l="1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<sst xmlns="http://schemas.openxmlformats.org/spreadsheetml/2006/main" count="77" uniqueCount="44">
  <si>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</si>
  <si>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</si>
  <si>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</si>
  <si>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</si>
  <si>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</si>
  <si>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</si>
  <si>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</si>
  <si>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</si>
  <si>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= in skins</t>
  </si>
  <si>
    <t>PAR</t>
  </si>
  <si>
    <t>prize per hole</t>
  </si>
  <si>
    <t>Handicap</t>
  </si>
  <si>
    <t>Hole Score</t>
  </si>
  <si>
    <t>Net Points</t>
  </si>
  <si>
    <t>RAIN OUT</t>
  </si>
  <si>
    <t>Kevin</t>
  </si>
  <si>
    <t>Karen</t>
  </si>
  <si>
    <t>Shayne</t>
  </si>
  <si>
    <t>Young, Mark</t>
  </si>
  <si>
    <t>Miller, Ryan</t>
  </si>
  <si>
    <t>Walters, Kevin</t>
  </si>
  <si>
    <t>Ige, Shayne</t>
  </si>
  <si>
    <t>Bess, John</t>
  </si>
  <si>
    <t>Bess, Ami</t>
  </si>
  <si>
    <t>Arndt, Karen</t>
  </si>
  <si>
    <t>Hutter, Mark</t>
  </si>
  <si>
    <t>Net</t>
  </si>
  <si>
    <t>Strokes</t>
  </si>
  <si>
    <t>Carry</t>
  </si>
  <si>
    <t>Win (2)</t>
  </si>
  <si>
    <t>John B</t>
  </si>
  <si>
    <t>Win (1)</t>
  </si>
  <si>
    <t>Mark Y</t>
  </si>
  <si>
    <t>Win (.5)</t>
  </si>
  <si>
    <t>None</t>
  </si>
  <si>
    <t>John B (4.5)</t>
  </si>
  <si>
    <t>Mark Y (2)</t>
  </si>
  <si>
    <t>Karen (.5)</t>
  </si>
  <si>
    <t>Kevin (.5)</t>
  </si>
  <si>
    <t>Shayne (.5)</t>
  </si>
  <si>
    <t>Actual</t>
  </si>
  <si>
    <t>Rounded</t>
  </si>
  <si>
    <t>Name (skins won)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</si>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</sst>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4" borderId="10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12" xfId="1" applyFont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vertical="center"/>
    </xf>
    <xf numFmtId="0" fontId="3" fillId="0" borderId="16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3" borderId="12" xfId="1" applyFont="1" applyFill="1" applyBorder="1" applyAlignment="1">
      <alignment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vertical="center"/>
    </xf>
    <xf numFmtId="0" fontId="6" fillId="4" borderId="19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vertical="center"/>
    </xf>
    <xf numFmtId="0" fontId="5" fillId="5" borderId="16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0" fontId="5" fillId="6" borderId="0" xfId="1" applyFont="1" applyFill="1" applyAlignment="1">
      <alignment horizontal="center" vertical="center"/>
    </xf>
    <xf numFmtId="164" fontId="1" fillId="0" borderId="0" xfId="1" applyNumberFormat="1"/>
    <xf numFmtId="0" fontId="7" fillId="0" borderId="16" xfId="1" applyFont="1" applyBorder="1" applyAlignment="1">
      <alignment horizontal="center" vertical="center"/>
    </xf>
    <xf numFmtId="0" fontId="5" fillId="7" borderId="12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2" borderId="0" xfId="1" applyFont="1" applyFill="1" applyAlignment="1">
      <alignment horizontal="center" vertical="center"/>
    </xf>
    <xf numFmtId="8" fontId="3" fillId="0" borderId="0" xfId="1" applyNumberFormat="1" applyFont="1" applyAlignment="1">
      <alignment horizontal="center"/>
    </xf>
    <xf numFmtId="8" fontId="1" fillId="0" borderId="0" xfId="1" applyNumberFormat="1" applyAlignment="1">
      <alignment horizontal="center"/>
    </xf>
    <xf numFmtId="0" fontId="9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/>
    </xf>
    <xf numFmtId="6" fontId="1" fillId="0" borderId="0" xfId="1" applyNumberFormat="1"/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8" fontId="1" fillId="0" borderId="22" xfId="1" applyNumberForma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" fillId="0" borderId="4" xfId="1" applyBorder="1" applyAlignment="1">
      <alignment horizontal="center"/>
    </xf>
    <xf numFmtId="6" fontId="9" fillId="0" borderId="5" xfId="1" applyNumberFormat="1" applyFont="1" applyBorder="1" applyAlignment="1">
      <alignment horizontal="center"/>
    </xf>
    <xf numFmtId="0" fontId="1" fillId="0" borderId="6" xfId="1" applyBorder="1" applyAlignment="1">
      <alignment horizontal="center"/>
    </xf>
    <xf numFmtId="8" fontId="1" fillId="0" borderId="24" xfId="1" applyNumberFormat="1" applyBorder="1" applyAlignment="1">
      <alignment horizontal="center"/>
    </xf>
    <xf numFmtId="6" fontId="9" fillId="0" borderId="7" xfId="1" applyNumberFormat="1" applyFont="1" applyBorder="1" applyAlignment="1">
      <alignment horizontal="center"/>
    </xf>
    <xf numFmtId="0" fontId="1" fillId="0" borderId="25" xfId="1" applyBorder="1" applyAlignment="1">
      <alignment horizontal="center"/>
    </xf>
    <xf numFmtId="8" fontId="1" fillId="0" borderId="26" xfId="1" applyNumberFormat="1" applyBorder="1" applyAlignment="1">
      <alignment horizontal="center"/>
    </xf>
    <xf numFmtId="6" fontId="1" fillId="0" borderId="20" xfId="1" applyNumberFormat="1" applyBorder="1" applyAlignment="1">
      <alignment horizontal="center"/>
    </xf>
    <xf numFmtId="0" fontId="11" fillId="0" borderId="27" xfId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/>
    </sheetView>
  </sheetViews>
  <sheetFormatPr baseColWidth="10" defaultColWidth="14.1640625" defaultRowHeight="15" customHeight="1" x14ac:dyDescent="0.15"/>
  <cols>
    <col min="1" max="1" width="23" style="2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0" customWidth="1"/>
    <col min="21" max="26" width="8.6640625" style="2" customWidth="1"/>
    <col min="27" max="16384" width="14.1640625" style="2"/>
  </cols>
  <sheetData>
    <row r="1" spans="1:26" ht="26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1"/>
      <c r="Q1" s="1"/>
      <c r="R1" s="1"/>
      <c r="S1" s="1"/>
      <c r="T1" s="28"/>
      <c r="U1" s="1"/>
      <c r="V1" s="1"/>
      <c r="W1" s="1"/>
      <c r="X1" s="1"/>
      <c r="Y1" s="1"/>
      <c r="Z1" s="1"/>
    </row>
    <row r="2" spans="1:26" x14ac:dyDescent="0.2">
      <c r="A2" s="52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1"/>
      <c r="Q2" s="1"/>
      <c r="R2" s="1"/>
      <c r="S2" s="1"/>
      <c r="T2" s="28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28"/>
      <c r="U3" s="1"/>
      <c r="V3" s="1"/>
      <c r="W3" s="1"/>
      <c r="X3" s="1"/>
      <c r="Y3" s="1"/>
      <c r="Z3" s="1"/>
    </row>
    <row r="4" spans="1:26" ht="19" x14ac:dyDescent="0.2">
      <c r="A4" s="17" t="s">
        <v>2</v>
      </c>
      <c r="B4" s="18" t="s">
        <v>3</v>
      </c>
      <c r="C4" s="18">
        <v>1</v>
      </c>
      <c r="D4" s="18">
        <v>2</v>
      </c>
      <c r="E4" s="18">
        <v>3</v>
      </c>
      <c r="F4" s="18">
        <v>4</v>
      </c>
      <c r="G4" s="18">
        <v>5</v>
      </c>
      <c r="H4" s="18">
        <v>6</v>
      </c>
      <c r="I4" s="18">
        <v>7</v>
      </c>
      <c r="J4" s="18">
        <v>8</v>
      </c>
      <c r="K4" s="18">
        <v>9</v>
      </c>
      <c r="L4" s="18" t="s">
        <v>4</v>
      </c>
      <c r="M4" s="18" t="s">
        <v>5</v>
      </c>
      <c r="N4" s="18" t="s">
        <v>6</v>
      </c>
      <c r="O4" s="19" t="s">
        <v>7</v>
      </c>
      <c r="P4" s="3"/>
      <c r="Q4" s="32"/>
      <c r="R4" s="26" t="s">
        <v>8</v>
      </c>
      <c r="S4" s="3"/>
      <c r="T4" s="29"/>
      <c r="U4" s="3"/>
      <c r="V4" s="3"/>
      <c r="W4" s="3"/>
      <c r="X4" s="3"/>
      <c r="Y4" s="3"/>
      <c r="Z4" s="3"/>
    </row>
    <row r="5" spans="1:26" ht="19" x14ac:dyDescent="0.2">
      <c r="A5" s="20"/>
      <c r="B5" s="6" t="s">
        <v>9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1"/>
      <c r="P5" s="3"/>
      <c r="Q5" s="31"/>
      <c r="R5" s="4" t="s">
        <v>10</v>
      </c>
      <c r="S5" s="3"/>
      <c r="T5" s="29"/>
      <c r="U5" s="3"/>
      <c r="V5" s="3"/>
      <c r="W5" s="3"/>
      <c r="X5" s="3"/>
      <c r="Y5" s="3"/>
      <c r="Z5" s="3"/>
    </row>
    <row r="6" spans="1:26" ht="20" thickBot="1" x14ac:dyDescent="0.25">
      <c r="A6" s="22"/>
      <c r="B6" s="23" t="s">
        <v>11</v>
      </c>
      <c r="C6" s="23">
        <v>4</v>
      </c>
      <c r="D6" s="23">
        <v>1</v>
      </c>
      <c r="E6" s="23">
        <v>3</v>
      </c>
      <c r="F6" s="23">
        <v>9</v>
      </c>
      <c r="G6" s="23">
        <v>5</v>
      </c>
      <c r="H6" s="23">
        <v>7</v>
      </c>
      <c r="I6" s="23">
        <v>8</v>
      </c>
      <c r="J6" s="23">
        <v>6</v>
      </c>
      <c r="K6" s="23">
        <v>2</v>
      </c>
      <c r="L6" s="24"/>
      <c r="M6" s="23"/>
      <c r="N6" s="23"/>
      <c r="O6" s="25"/>
      <c r="P6" s="3"/>
      <c r="Q6" s="3"/>
      <c r="R6" s="3"/>
      <c r="S6" s="3"/>
      <c r="T6" s="29"/>
      <c r="U6" s="3"/>
      <c r="V6" s="3"/>
      <c r="W6" s="3"/>
      <c r="X6" s="3"/>
      <c r="Y6" s="3"/>
      <c r="Z6" s="3"/>
    </row>
    <row r="7" spans="1:26" ht="19" x14ac:dyDescent="0.2">
      <c r="A7" s="9"/>
      <c r="B7" s="10" t="s">
        <v>12</v>
      </c>
      <c r="C7" s="10"/>
      <c r="D7" s="10"/>
      <c r="E7" s="10"/>
      <c r="F7" s="10"/>
      <c r="G7" s="10"/>
      <c r="H7" s="10"/>
      <c r="I7" s="10"/>
      <c r="J7" s="10"/>
      <c r="K7" s="10"/>
      <c r="L7" s="11" t="str">
        <f t="shared" ref="L7:L17" si="0">IF(SUM(C7:K7)&gt;0, SUM(C7:K7),"")</f>
        <v/>
      </c>
      <c r="M7" s="10"/>
      <c r="N7" s="10" t="str">
        <f>IF(L7&lt;&gt;"",L7- M7, "")</f>
        <v/>
      </c>
      <c r="O7" s="12"/>
      <c r="P7" s="1"/>
      <c r="Q7" s="1"/>
      <c r="R7" s="1"/>
      <c r="S7" s="1"/>
      <c r="T7" s="28"/>
      <c r="U7" s="1"/>
      <c r="V7" s="1"/>
      <c r="W7" s="1"/>
      <c r="X7" s="1"/>
      <c r="Y7" s="1"/>
      <c r="Z7" s="1"/>
    </row>
    <row r="8" spans="1:26" ht="20" thickBot="1" x14ac:dyDescent="0.25">
      <c r="A8" s="13"/>
      <c r="B8" s="14" t="s">
        <v>13</v>
      </c>
      <c r="C8" s="14" t="str">
        <f>IF(C7&gt;0, VLOOKUP(C7-C$5-(INT($M7/9)+(MOD($M7,9)&gt;=C$6)), '[1]Point System'!$A$4:$B$15, 2),"")</f>
        <v/>
      </c>
      <c r="D8" s="14" t="str">
        <f>IF(D7&gt;0, VLOOKUP(D7-D$5-(INT($M7/9)+(MOD($M7,9)&gt;=D$6)), '[1]Point System'!$A$4:$B$15, 2),"")</f>
        <v/>
      </c>
      <c r="E8" s="14" t="str">
        <f>IF(E7&gt;0, VLOOKUP(E7-E$5-(INT($M7/9)+(MOD($M7,9)&gt;=E$6)), '[1]Point System'!$A$4:$B$15, 2),"")</f>
        <v/>
      </c>
      <c r="F8" s="14" t="str">
        <f>IF(F7&gt;0, VLOOKUP(F7-F$5-(INT($M7/9)+(MOD($M7,9)&gt;=F$6)), '[1]Point System'!$A$4:$B$15, 2),"")</f>
        <v/>
      </c>
      <c r="G8" s="14" t="str">
        <f>IF(G7&gt;0, VLOOKUP(G7-G$5-(INT($M7/9)+(MOD($M7,9)&gt;=G$6)), '[1]Point System'!$A$4:$B$15, 2),"")</f>
        <v/>
      </c>
      <c r="H8" s="14" t="str">
        <f>IF(H7&gt;0, VLOOKUP(H7-H$5-(INT($M7/9)+(MOD($M7,9)&gt;=H$6)), '[1]Point System'!$A$4:$B$15, 2),"")</f>
        <v/>
      </c>
      <c r="I8" s="14" t="str">
        <f>IF(I7&gt;0, VLOOKUP(I7-I$5-(INT($M7/9)+(MOD($M7,9)&gt;=I$6)), '[1]Point System'!$A$4:$B$15, 2),"")</f>
        <v/>
      </c>
      <c r="J8" s="14" t="str">
        <f>IF(J7&gt;0, VLOOKUP(J7-J$5-(INT($M7/9)+(MOD($M7,9)&gt;=J$6)), '[1]Point System'!$A$4:$B$15, 2),"")</f>
        <v/>
      </c>
      <c r="K8" s="34" t="str">
        <f>IF(K7&gt;0, VLOOKUP(K7-K$5-(INT($M7/9)+(MOD($M7,9)&gt;=K$6)), '[1]Point System'!$A$4:$B$15, 2),"")</f>
        <v/>
      </c>
      <c r="L8" s="15" t="str">
        <f t="shared" si="0"/>
        <v/>
      </c>
      <c r="M8" s="14"/>
      <c r="N8" s="14"/>
      <c r="O8" s="16" t="str">
        <f>IF(L8&lt;&gt;"", L8, "")</f>
        <v/>
      </c>
      <c r="P8" s="1"/>
      <c r="Q8" s="31"/>
      <c r="R8" s="28"/>
      <c r="S8" s="1"/>
      <c r="T8" s="1"/>
      <c r="U8" s="1"/>
      <c r="V8" s="1"/>
      <c r="W8" s="1"/>
      <c r="X8" s="1"/>
      <c r="Z8" s="33"/>
    </row>
    <row r="9" spans="1:26" ht="19" x14ac:dyDescent="0.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1" t="str">
        <f t="shared" si="0"/>
        <v/>
      </c>
      <c r="M9" s="10"/>
      <c r="N9" s="10" t="str">
        <f>IF(L9&lt;&gt;"",L9- M9, "")</f>
        <v/>
      </c>
      <c r="O9" s="12"/>
      <c r="P9" s="1"/>
      <c r="Q9" s="1"/>
      <c r="R9" s="28"/>
      <c r="T9" s="2"/>
    </row>
    <row r="10" spans="1:26" ht="20" thickBot="1" x14ac:dyDescent="0.25">
      <c r="A10" s="13"/>
      <c r="B10" s="14"/>
      <c r="C10" s="14" t="str">
        <f>IF(C9&gt;0, VLOOKUP(C9-C$5-(INT($M9/9)+(MOD($M9,9)&gt;=C$6)), '[1]Point System'!$A$4:$B$15, 2),"")</f>
        <v/>
      </c>
      <c r="D10" s="14" t="str">
        <f>IF(D9&gt;0, VLOOKUP(D9-D$5-(INT($M9/9)+(MOD($M9,9)&gt;=D$6)), '[1]Point System'!$A$4:$B$15, 2),"")</f>
        <v/>
      </c>
      <c r="E10" s="14" t="str">
        <f>IF(E9&gt;0, VLOOKUP(E9-E$5-(INT($M9/9)+(MOD($M9,9)&gt;=E$6)), '[1]Point System'!$A$4:$B$15, 2),"")</f>
        <v/>
      </c>
      <c r="F10" s="14" t="str">
        <f>IF(F9&gt;0, VLOOKUP(F9-F$5-(INT($M9/9)+(MOD($M9,9)&gt;=F$6)), '[1]Point System'!$A$4:$B$15, 2),"")</f>
        <v/>
      </c>
      <c r="G10" s="14" t="str">
        <f>IF(G9&gt;0, VLOOKUP(G9-G$5-(INT($M9/9)+(MOD($M9,9)&gt;=G$6)), '[1]Point System'!$A$4:$B$15, 2),"")</f>
        <v/>
      </c>
      <c r="H10" s="14" t="str">
        <f>IF(H9&gt;0, VLOOKUP(H9-H$5-(INT($M9/9)+(MOD($M9,9)&gt;=H$6)), '[1]Point System'!$A$4:$B$15, 2),"")</f>
        <v/>
      </c>
      <c r="I10" s="14" t="str">
        <f>IF(I9&gt;0, VLOOKUP(I9-I$5-(INT($M9/9)+(MOD($M9,9)&gt;=I$6)), '[1]Point System'!$A$4:$B$15, 2),"")</f>
        <v/>
      </c>
      <c r="J10" s="14" t="str">
        <f>IF(J9&gt;0, VLOOKUP(J9-J$5-(INT($M9/9)+(MOD($M9,9)&gt;=J$6)), '[1]Point System'!$A$4:$B$15, 2),"")</f>
        <v/>
      </c>
      <c r="K10" s="34" t="str">
        <f>IF(K9&gt;0, VLOOKUP(K9-K$5-(INT($M9/9)+(MOD($M9,9)&gt;=K$6)), '[1]Point System'!$A$4:$B$15, 2),"")</f>
        <v/>
      </c>
      <c r="L10" s="15" t="str">
        <f t="shared" ref="L10" si="1">IF(SUM(C10:K10)&gt;0, SUM(C10:K10),"")</f>
        <v/>
      </c>
      <c r="M10" s="14"/>
      <c r="N10" s="14"/>
      <c r="O10" s="16" t="str">
        <f>IF(L10&lt;&gt;"", L10, "")</f>
        <v/>
      </c>
      <c r="P10" s="1"/>
      <c r="Q10" s="1"/>
      <c r="R10" s="28"/>
      <c r="T10" s="2"/>
    </row>
    <row r="11" spans="1:26" ht="19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 t="str">
        <f t="shared" si="0"/>
        <v/>
      </c>
      <c r="M11" s="10"/>
      <c r="N11" s="10" t="str">
        <f>IF(L11&lt;&gt;"",L11- M11, "")</f>
        <v/>
      </c>
      <c r="O11" s="12"/>
      <c r="P11" s="1"/>
      <c r="Q11" s="1"/>
      <c r="R11" s="28"/>
      <c r="S11" s="1"/>
      <c r="T11" s="1"/>
    </row>
    <row r="12" spans="1:26" ht="20" thickBot="1" x14ac:dyDescent="0.25">
      <c r="A12" s="13"/>
      <c r="B12" s="14"/>
      <c r="C12" s="14" t="str">
        <f>IF(C11&gt;0, VLOOKUP(C11-C$5-(INT($M11/9)+(MOD($M11,9)&gt;=C$6)), '[1]Point System'!$A$4:$B$15, 2),"")</f>
        <v/>
      </c>
      <c r="D12" s="14" t="str">
        <f>IF(D11&gt;0, VLOOKUP(D11-D$5-(INT($M11/9)+(MOD($M11,9)&gt;=D$6)), '[1]Point System'!$A$4:$B$15, 2),"")</f>
        <v/>
      </c>
      <c r="E12" s="14" t="str">
        <f>IF(E11&gt;0, VLOOKUP(E11-E$5-(INT($M11/9)+(MOD($M11,9)&gt;=E$6)), '[1]Point System'!$A$4:$B$15, 2),"")</f>
        <v/>
      </c>
      <c r="F12" s="14" t="str">
        <f>IF(F11&gt;0, VLOOKUP(F11-F$5-(INT($M11/9)+(MOD($M11,9)&gt;=F$6)), '[1]Point System'!$A$4:$B$15, 2),"")</f>
        <v/>
      </c>
      <c r="G12" s="14" t="str">
        <f>IF(G11&gt;0, VLOOKUP(G11-G$5-(INT($M11/9)+(MOD($M11,9)&gt;=G$6)), '[1]Point System'!$A$4:$B$15, 2),"")</f>
        <v/>
      </c>
      <c r="H12" s="14" t="str">
        <f>IF(H11&gt;0, VLOOKUP(H11-H$5-(INT($M11/9)+(MOD($M11,9)&gt;=H$6)), '[1]Point System'!$A$4:$B$15, 2),"")</f>
        <v/>
      </c>
      <c r="I12" s="14" t="str">
        <f>IF(I11&gt;0, VLOOKUP(I11-I$5-(INT($M11/9)+(MOD($M11,9)&gt;=I$6)), '[1]Point System'!$A$4:$B$15, 2),"")</f>
        <v/>
      </c>
      <c r="J12" s="14" t="str">
        <f>IF(J11&gt;0, VLOOKUP(J11-J$5-(INT($M11/9)+(MOD($M11,9)&gt;=J$6)), '[1]Point System'!$A$4:$B$15, 2),"")</f>
        <v/>
      </c>
      <c r="K12" s="14" t="str">
        <f>IF(K11&gt;0, VLOOKUP(K11-K$5-(INT($M11/9)+(MOD($M11,9)&gt;=K$6)), '[1]Point System'!$A$4:$B$15, 2),"")</f>
        <v/>
      </c>
      <c r="L12" s="15" t="str">
        <f t="shared" ref="L12" si="2">IF(SUM(C12:K12)&gt;0, SUM(C12:K12),"")</f>
        <v/>
      </c>
      <c r="M12" s="14"/>
      <c r="N12" s="14"/>
      <c r="O12" s="16" t="str">
        <f>IF(L12&lt;&gt;"", L12, "")</f>
        <v/>
      </c>
      <c r="P12" s="31"/>
      <c r="Q12" s="31"/>
      <c r="R12" s="28"/>
      <c r="S12" s="1"/>
      <c r="T12" s="1"/>
    </row>
    <row r="13" spans="1:26" ht="19" x14ac:dyDescent="0.2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 t="str">
        <f t="shared" si="0"/>
        <v/>
      </c>
      <c r="M13" s="10"/>
      <c r="N13" s="10" t="str">
        <f>IF(L13&lt;&gt;"",L13- M13, "")</f>
        <v/>
      </c>
      <c r="O13" s="12"/>
      <c r="P13" s="1"/>
      <c r="Q13" s="31"/>
      <c r="R13" s="28"/>
      <c r="S13" s="1"/>
      <c r="T13" s="1"/>
    </row>
    <row r="14" spans="1:26" ht="20" thickBot="1" x14ac:dyDescent="0.25">
      <c r="A14" s="13"/>
      <c r="B14" s="14"/>
      <c r="C14" s="14" t="str">
        <f>IF(C13&gt;0, VLOOKUP(C13-C$5-(INT($M13/9)+(MOD($M13,9)&gt;=C$6)), '[1]Point System'!$A$4:$B$15, 2),"")</f>
        <v/>
      </c>
      <c r="D14" s="14" t="str">
        <f>IF(D13&gt;0, VLOOKUP(D13-D$5-(INT($M13/9)+(MOD($M13,9)&gt;=D$6)), '[1]Point System'!$A$4:$B$15, 2),"")</f>
        <v/>
      </c>
      <c r="E14" s="14" t="str">
        <f>IF(E13&gt;0, VLOOKUP(E13-E$5-(INT($M13/9)+(MOD($M13,9)&gt;=E$6)), '[1]Point System'!$A$4:$B$15, 2),"")</f>
        <v/>
      </c>
      <c r="F14" s="14" t="str">
        <f>IF(F13&gt;0, VLOOKUP(F13-F$5-(INT($M13/9)+(MOD($M13,9)&gt;=F$6)), '[1]Point System'!$A$4:$B$15, 2),"")</f>
        <v/>
      </c>
      <c r="G14" s="14" t="str">
        <f>IF(G13&gt;0, VLOOKUP(G13-G$5-(INT($M13/9)+(MOD($M13,9)&gt;=G$6)), '[1]Point System'!$A$4:$B$15, 2),"")</f>
        <v/>
      </c>
      <c r="H14" s="14" t="str">
        <f>IF(H13&gt;0, VLOOKUP(H13-H$5-(INT($M13/9)+(MOD($M13,9)&gt;=H$6)), '[1]Point System'!$A$4:$B$15, 2),"")</f>
        <v/>
      </c>
      <c r="I14" s="14" t="str">
        <f>IF(I13&gt;0, VLOOKUP(I13-I$5-(INT($M13/9)+(MOD($M13,9)&gt;=I$6)), '[1]Point System'!$A$4:$B$15, 2),"")</f>
        <v/>
      </c>
      <c r="J14" s="14" t="str">
        <f>IF(J13&gt;0, VLOOKUP(J13-J$5-(INT($M13/9)+(MOD($M13,9)&gt;=J$6)), '[1]Point System'!$A$4:$B$15, 2),"")</f>
        <v/>
      </c>
      <c r="K14" s="14" t="str">
        <f>IF(K13&gt;0, VLOOKUP(K13-K$5-(INT($M13/9)+(MOD($M13,9)&gt;=K$6)), '[1]Point System'!$A$4:$B$15, 2),"")</f>
        <v/>
      </c>
      <c r="L14" s="15" t="str">
        <f t="shared" ref="L14" si="3">IF(SUM(C14:K14)&gt;0, SUM(C14:K14),"")</f>
        <v/>
      </c>
      <c r="M14" s="14"/>
      <c r="N14" s="14"/>
      <c r="O14" s="16" t="str">
        <f>IF(L14&lt;&gt;"", L14, "")</f>
        <v/>
      </c>
      <c r="P14" s="31"/>
      <c r="Q14" s="31"/>
      <c r="R14" s="28"/>
      <c r="S14" s="1"/>
      <c r="T14" s="1"/>
    </row>
    <row r="15" spans="1:26" ht="19" x14ac:dyDescent="0.2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 t="str">
        <f t="shared" si="0"/>
        <v/>
      </c>
      <c r="M15" s="10"/>
      <c r="N15" s="10" t="str">
        <f>IF(L15&lt;&gt;"",L15- M15, "")</f>
        <v/>
      </c>
      <c r="O15" s="12"/>
      <c r="P15" s="1"/>
      <c r="Q15" s="31"/>
      <c r="R15" s="28"/>
      <c r="V15" s="1"/>
      <c r="W15" s="1"/>
      <c r="X15" s="1"/>
      <c r="Y15" s="1"/>
      <c r="Z15" s="1"/>
    </row>
    <row r="16" spans="1:26" ht="20" thickBot="1" x14ac:dyDescent="0.25">
      <c r="A16" s="13"/>
      <c r="B16" s="14"/>
      <c r="C16" s="14" t="str">
        <f>IF(C15&gt;0, VLOOKUP(C15-C$5-(INT($M15/9)+(MOD($M15,9)&gt;=C$6)), '[1]Point System'!$A$4:$B$15, 2),"")</f>
        <v/>
      </c>
      <c r="D16" s="14" t="str">
        <f>IF(D15&gt;0, VLOOKUP(D15-D$5-(INT($M15/9)+(MOD($M15,9)&gt;=D$6)), '[1]Point System'!$A$4:$B$15, 2),"")</f>
        <v/>
      </c>
      <c r="E16" s="14" t="str">
        <f>IF(E15&gt;0, VLOOKUP(E15-E$5-(INT($M15/9)+(MOD($M15,9)&gt;=E$6)), '[1]Point System'!$A$4:$B$15, 2),"")</f>
        <v/>
      </c>
      <c r="F16" s="14" t="str">
        <f>IF(F15&gt;0, VLOOKUP(F15-F$5-(INT($M15/9)+(MOD($M15,9)&gt;=F$6)), '[1]Point System'!$A$4:$B$15, 2),"")</f>
        <v/>
      </c>
      <c r="G16" s="14" t="str">
        <f>IF(G15&gt;0, VLOOKUP(G15-G$5-(INT($M15/9)+(MOD($M15,9)&gt;=G$6)), '[1]Point System'!$A$4:$B$15, 2),"")</f>
        <v/>
      </c>
      <c r="H16" s="14" t="str">
        <f>IF(H15&gt;0, VLOOKUP(H15-H$5-(INT($M15/9)+(MOD($M15,9)&gt;=H$6)), '[1]Point System'!$A$4:$B$15, 2),"")</f>
        <v/>
      </c>
      <c r="I16" s="14" t="str">
        <f>IF(I15&gt;0, VLOOKUP(I15-I$5-(INT($M15/9)+(MOD($M15,9)&gt;=I$6)), '[1]Point System'!$A$4:$B$15, 2),"")</f>
        <v/>
      </c>
      <c r="J16" s="14" t="str">
        <f>IF(J15&gt;0, VLOOKUP(J15-J$5-(INT($M15/9)+(MOD($M15,9)&gt;=J$6)), '[1]Point System'!$A$4:$B$15, 2),"")</f>
        <v/>
      </c>
      <c r="K16" s="14" t="str">
        <f>IF(K15&gt;0, VLOOKUP(K15-K$5-(INT($M15/9)+(MOD($M15,9)&gt;=K$6)), '[1]Point System'!$A$4:$B$15, 2),"")</f>
        <v/>
      </c>
      <c r="L16" s="15" t="str">
        <f t="shared" ref="L16" si="4">IF(SUM(C16:K16)&gt;0, SUM(C16:K16),"")</f>
        <v/>
      </c>
      <c r="M16" s="14"/>
      <c r="N16" s="14"/>
      <c r="O16" s="16" t="str">
        <f>IF(L16&lt;&gt;"", L16, "")</f>
        <v/>
      </c>
      <c r="P16" s="31"/>
      <c r="Q16" s="31"/>
      <c r="R16" s="28"/>
      <c r="V16" s="1"/>
      <c r="W16" s="1"/>
      <c r="X16" s="1"/>
      <c r="Y16" s="1"/>
      <c r="Z16" s="1"/>
    </row>
    <row r="17" spans="1:26" ht="19" x14ac:dyDescent="0.2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 t="str">
        <f t="shared" si="0"/>
        <v/>
      </c>
      <c r="M17" s="10"/>
      <c r="N17" s="10" t="str">
        <f>IF(L17&lt;&gt;"",L17- M17, "")</f>
        <v/>
      </c>
      <c r="O17" s="12"/>
      <c r="P17" s="1"/>
      <c r="Q17" s="31"/>
      <c r="R17" s="28"/>
      <c r="V17" s="1"/>
      <c r="W17" s="1"/>
      <c r="X17" s="1"/>
      <c r="Y17" s="1"/>
      <c r="Z17" s="1"/>
    </row>
    <row r="18" spans="1:26" ht="20" thickBot="1" x14ac:dyDescent="0.25">
      <c r="A18" s="13"/>
      <c r="B18" s="14"/>
      <c r="C18" s="14" t="str">
        <f>IF(C17&gt;0, VLOOKUP(C17-C$5-(INT($M17/9)+(MOD($M17,9)&gt;=C$6)), '[1]Point System'!$A$4:$B$15, 2),"")</f>
        <v/>
      </c>
      <c r="D18" s="14" t="str">
        <f>IF(D17&gt;0, VLOOKUP(D17-D$5-(INT($M17/9)+(MOD($M17,9)&gt;=D$6)), '[1]Point System'!$A$4:$B$15, 2),"")</f>
        <v/>
      </c>
      <c r="E18" s="14" t="str">
        <f>IF(E17&gt;0, VLOOKUP(E17-E$5-(INT($M17/9)+(MOD($M17,9)&gt;=E$6)), '[1]Point System'!$A$4:$B$15, 2),"")</f>
        <v/>
      </c>
      <c r="F18" s="14" t="str">
        <f>IF(F17&gt;0, VLOOKUP(F17-F$5-(INT($M17/9)+(MOD($M17,9)&gt;=F$6)), '[1]Point System'!$A$4:$B$15, 2),"")</f>
        <v/>
      </c>
      <c r="G18" s="14" t="str">
        <f>IF(G17&gt;0, VLOOKUP(G17-G$5-(INT($M17/9)+(MOD($M17,9)&gt;=G$6)), '[1]Point System'!$A$4:$B$15, 2),"")</f>
        <v/>
      </c>
      <c r="H18" s="14" t="str">
        <f>IF(H17&gt;0, VLOOKUP(H17-H$5-(INT($M17/9)+(MOD($M17,9)&gt;=H$6)), '[1]Point System'!$A$4:$B$15, 2),"")</f>
        <v/>
      </c>
      <c r="I18" s="14" t="str">
        <f>IF(I17&gt;0, VLOOKUP(I17-I$5-(INT($M17/9)+(MOD($M17,9)&gt;=I$6)), '[1]Point System'!$A$4:$B$15, 2),"")</f>
        <v/>
      </c>
      <c r="J18" s="14" t="str">
        <f>IF(J17&gt;0, VLOOKUP(J17-J$5-(INT($M17/9)+(MOD($M17,9)&gt;=J$6)), '[1]Point System'!$A$4:$B$15, 2),"")</f>
        <v/>
      </c>
      <c r="K18" s="34" t="str">
        <f>IF(K17&gt;0, VLOOKUP(K17-K$5-(INT($M17/9)+(MOD($M17,9)&gt;=K$6)), '[1]Point System'!$A$4:$B$15, 2),"")</f>
        <v/>
      </c>
      <c r="L18" s="15" t="str">
        <f t="shared" ref="L18" si="5">IF(SUM(C18:K18)&gt;0, SUM(C18:K18),"")</f>
        <v/>
      </c>
      <c r="M18" s="14"/>
      <c r="N18" s="14"/>
      <c r="O18" s="16" t="str">
        <f>IF(L18&lt;&gt;"", L18, "")</f>
        <v/>
      </c>
      <c r="P18" s="31"/>
      <c r="Q18" s="31"/>
      <c r="R18" s="28"/>
      <c r="V18" s="1"/>
      <c r="W18" s="1"/>
      <c r="X18" s="1"/>
      <c r="Y18" s="1"/>
      <c r="Z18" s="1"/>
    </row>
    <row r="19" spans="1:26" ht="19" x14ac:dyDescent="0.2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 t="str">
        <f t="shared" ref="L19" si="6">IF(SUM(C19:K19)&gt;0, SUM(C19:K19),"")</f>
        <v/>
      </c>
      <c r="M19" s="10"/>
      <c r="N19" s="10" t="str">
        <f>IF(L19&lt;&gt;"",L19- M19, "")</f>
        <v/>
      </c>
      <c r="O19" s="12"/>
      <c r="P19" s="1"/>
      <c r="Q19" s="1"/>
      <c r="R19" s="28"/>
      <c r="T19" s="2"/>
    </row>
    <row r="20" spans="1:26" ht="20" thickBot="1" x14ac:dyDescent="0.25">
      <c r="A20" s="13"/>
      <c r="B20" s="14"/>
      <c r="C20" s="14" t="str">
        <f>IF(C19&gt;0, VLOOKUP(C19-C$5-(INT($M19/9)+(MOD($M19,9)&gt;=C$6)), '[1]Point System'!$A$4:$B$15, 2),"")</f>
        <v/>
      </c>
      <c r="D20" s="14" t="str">
        <f>IF(D19&gt;0, VLOOKUP(D19-D$5-(INT($M19/9)+(MOD($M19,9)&gt;=D$6)), '[1]Point System'!$A$4:$B$15, 2),"")</f>
        <v/>
      </c>
      <c r="E20" s="14" t="str">
        <f>IF(E19&gt;0, VLOOKUP(E19-E$5-(INT($M19/9)+(MOD($M19,9)&gt;=E$6)), '[1]Point System'!$A$4:$B$15, 2),"")</f>
        <v/>
      </c>
      <c r="F20" s="14" t="str">
        <f>IF(F19&gt;0, VLOOKUP(F19-F$5-(INT($M19/9)+(MOD($M19,9)&gt;=F$6)), '[1]Point System'!$A$4:$B$15, 2),"")</f>
        <v/>
      </c>
      <c r="G20" s="14" t="str">
        <f>IF(G19&gt;0, VLOOKUP(G19-G$5-(INT($M19/9)+(MOD($M19,9)&gt;=G$6)), '[1]Point System'!$A$4:$B$15, 2),"")</f>
        <v/>
      </c>
      <c r="H20" s="14" t="str">
        <f>IF(H19&gt;0, VLOOKUP(H19-H$5-(INT($M19/9)+(MOD($M19,9)&gt;=H$6)), '[1]Point System'!$A$4:$B$15, 2),"")</f>
        <v/>
      </c>
      <c r="I20" s="14" t="str">
        <f>IF(I19&gt;0, VLOOKUP(I19-I$5-(INT($M19/9)+(MOD($M19,9)&gt;=I$6)), '[1]Point System'!$A$4:$B$15, 2),"")</f>
        <v/>
      </c>
      <c r="J20" s="14" t="str">
        <f>IF(J19&gt;0, VLOOKUP(J19-J$5-(INT($M19/9)+(MOD($M19,9)&gt;=J$6)), '[1]Point System'!$A$4:$B$15, 2),"")</f>
        <v/>
      </c>
      <c r="K20" s="34" t="str">
        <f>IF(K19&gt;0, VLOOKUP(K19-K$5-(INT($M19/9)+(MOD($M19,9)&gt;=K$6)), '[1]Point System'!$A$4:$B$15, 2),"")</f>
        <v/>
      </c>
      <c r="L20" s="15" t="str">
        <f t="shared" ref="L20" si="7">IF(SUM(C20:K20)&gt;0, SUM(C20:K20),"")</f>
        <v/>
      </c>
      <c r="M20" s="14"/>
      <c r="N20" s="14"/>
      <c r="O20" s="16" t="str">
        <f>IF(L20&lt;&gt;"", L20, "")</f>
        <v/>
      </c>
      <c r="P20" s="1"/>
      <c r="Q20" s="1"/>
      <c r="R20" s="28"/>
      <c r="T20" s="2"/>
    </row>
    <row r="21" spans="1:26" ht="15" customHeight="1" x14ac:dyDescent="0.15">
      <c r="E21" s="27"/>
      <c r="G21" s="27"/>
      <c r="H21" s="27"/>
      <c r="J21" s="27"/>
      <c r="K21" s="27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K1000"/>
  <sheetViews>
    <sheetView workbookViewId="0">
      <selection sqref="A1:C7"/>
    </sheetView>
  </sheetViews>
  <sheetFormatPr baseColWidth="10" defaultColWidth="12.6640625" defaultRowHeight="15" customHeight="1" x14ac:dyDescent="0.15"/>
  <cols>
    <col min="1" max="1" width="18.83203125" style="2" customWidth="1"/>
    <col min="2" max="2" width="10.5" style="2" customWidth="1"/>
    <col min="3" max="3" width="13.33203125" style="2" customWidth="1"/>
    <col min="4" max="24" width="7.6640625" style="2" customWidth="1"/>
    <col min="25" max="16384" width="12.6640625" style="2"/>
  </cols>
  <sheetData>
    <row r="1" spans="1:11" ht="14" x14ac:dyDescent="0.15">
      <c r="A1" s="54" t="s">
        <v>42</v>
      </c>
      <c r="B1" s="55" t="s">
        <v>40</v>
      </c>
      <c r="C1" s="56" t="s">
        <v>41</v>
      </c>
    </row>
    <row r="2" spans="1:11" ht="15" customHeight="1" x14ac:dyDescent="0.15">
      <c r="A2" s="65" t="s">
        <v>14</v>
      </c>
      <c r="B2" s="66"/>
      <c r="C2" s="67"/>
    </row>
    <row r="3" spans="1:11" ht="15" customHeight="1" x14ac:dyDescent="0.15">
      <c r="A3" s="68"/>
      <c r="B3" s="69"/>
      <c r="C3" s="70"/>
    </row>
    <row r="4" spans="1:11" ht="15" customHeight="1" x14ac:dyDescent="0.15">
      <c r="A4" s="68"/>
      <c r="B4" s="69"/>
      <c r="C4" s="70"/>
    </row>
    <row r="5" spans="1:11" ht="15" customHeight="1" x14ac:dyDescent="0.15">
      <c r="A5" s="68"/>
      <c r="B5" s="69"/>
      <c r="C5" s="70"/>
    </row>
    <row r="6" spans="1:11" ht="15" customHeight="1" thickBot="1" x14ac:dyDescent="0.2">
      <c r="A6" s="71"/>
      <c r="B6" s="72"/>
      <c r="C6" s="73"/>
    </row>
    <row r="7" spans="1:11" thickBot="1" x14ac:dyDescent="0.2">
      <c r="A7" s="62" t="s">
        <v>43</v>
      </c>
      <c r="B7" s="63">
        <f>SUM(B2:B6)</f>
        <v>0</v>
      </c>
      <c r="C7" s="63">
        <f>SUM(C2:C6)</f>
        <v>0</v>
      </c>
      <c r="K7" s="27"/>
    </row>
    <row r="8" spans="1:11" ht="14" x14ac:dyDescent="0.15"/>
    <row r="9" spans="1:11" ht="14" x14ac:dyDescent="0.15"/>
    <row r="10" spans="1:11" ht="14" x14ac:dyDescent="0.15"/>
    <row r="11" spans="1:11" ht="14" x14ac:dyDescent="0.15"/>
    <row r="12" spans="1:11" ht="14" x14ac:dyDescent="0.15"/>
    <row r="13" spans="1:11" ht="14" x14ac:dyDescent="0.15"/>
    <row r="14" spans="1:11" ht="14" x14ac:dyDescent="0.15"/>
    <row r="15" spans="1:11" ht="14" x14ac:dyDescent="0.15"/>
    <row r="17" ht="14" x14ac:dyDescent="0.15"/>
    <row r="18" ht="14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2:C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R32"/>
  <sheetViews>
    <sheetView tabSelected="1" topLeftCell="C1" zoomScale="85" zoomScaleNormal="85" workbookViewId="0">
      <selection activeCell="D36" sqref="D36"/>
    </sheetView>
  </sheetViews>
  <sheetFormatPr baseColWidth="10" defaultColWidth="14.1640625" defaultRowHeight="14" x14ac:dyDescent="0.15"/>
  <cols>
    <col min="1" max="1" width="3.33203125" style="2" hidden="1" customWidth="1"/>
    <col min="2" max="2" width="8.6640625" style="2" hidden="1" customWidth="1"/>
    <col min="3" max="3" width="19.83203125" style="27" customWidth="1"/>
    <col min="4" max="5" width="8.6640625" style="27" customWidth="1"/>
    <col min="6" max="6" width="3.1640625" style="2" customWidth="1"/>
    <col min="7" max="7" width="12.6640625" style="2" customWidth="1"/>
    <col min="8" max="8" width="8.6640625" style="2" customWidth="1"/>
    <col min="9" max="17" width="6.83203125" style="27" customWidth="1"/>
    <col min="18" max="18" width="5.1640625" style="27" customWidth="1"/>
    <col min="19" max="16384" width="14.1640625" style="2"/>
  </cols>
  <sheetData>
    <row r="1" spans="1:18" ht="15" x14ac:dyDescent="0.15">
      <c r="C1" s="54" t="s">
        <v>42</v>
      </c>
      <c r="D1" s="55" t="s">
        <v>40</v>
      </c>
      <c r="E1" s="56" t="s">
        <v>41</v>
      </c>
      <c r="G1" s="36"/>
      <c r="H1" s="6" t="s">
        <v>9</v>
      </c>
      <c r="I1" s="6">
        <v>4</v>
      </c>
      <c r="J1" s="6">
        <v>5</v>
      </c>
      <c r="K1" s="6">
        <v>4</v>
      </c>
      <c r="L1" s="6">
        <v>3</v>
      </c>
      <c r="M1" s="6">
        <v>4</v>
      </c>
      <c r="N1" s="6">
        <v>4</v>
      </c>
      <c r="O1" s="6">
        <v>3</v>
      </c>
      <c r="P1" s="6">
        <v>4</v>
      </c>
      <c r="Q1" s="6">
        <v>5</v>
      </c>
      <c r="R1" s="39"/>
    </row>
    <row r="2" spans="1:18" ht="16" thickBot="1" x14ac:dyDescent="0.25">
      <c r="A2" s="3"/>
      <c r="B2" s="3"/>
      <c r="C2" s="57" t="s">
        <v>35</v>
      </c>
      <c r="D2" s="53">
        <v>19.98</v>
      </c>
      <c r="E2" s="58">
        <v>20</v>
      </c>
      <c r="F2" s="49"/>
      <c r="G2" s="36"/>
      <c r="H2" s="23" t="s">
        <v>11</v>
      </c>
      <c r="I2" s="23">
        <v>4</v>
      </c>
      <c r="J2" s="23">
        <v>1</v>
      </c>
      <c r="K2" s="23">
        <v>3</v>
      </c>
      <c r="L2" s="23">
        <v>9</v>
      </c>
      <c r="M2" s="23">
        <v>5</v>
      </c>
      <c r="N2" s="23">
        <v>7</v>
      </c>
      <c r="O2" s="23">
        <v>8</v>
      </c>
      <c r="P2" s="23">
        <v>6</v>
      </c>
      <c r="Q2" s="23">
        <v>2</v>
      </c>
      <c r="R2" s="39"/>
    </row>
    <row r="3" spans="1:18" ht="15" x14ac:dyDescent="0.2">
      <c r="A3" s="3"/>
      <c r="B3" s="3"/>
      <c r="C3" s="57" t="s">
        <v>36</v>
      </c>
      <c r="D3" s="53">
        <v>8.8800000000000008</v>
      </c>
      <c r="E3" s="58">
        <v>9</v>
      </c>
      <c r="F3" s="49"/>
      <c r="G3" s="35" t="s">
        <v>18</v>
      </c>
      <c r="H3" s="10">
        <v>13</v>
      </c>
      <c r="I3" s="10">
        <v>5</v>
      </c>
      <c r="J3" s="10">
        <v>7</v>
      </c>
      <c r="K3" s="10">
        <v>4</v>
      </c>
      <c r="L3" s="10">
        <v>4</v>
      </c>
      <c r="M3" s="10">
        <v>4</v>
      </c>
      <c r="N3" s="10">
        <v>5</v>
      </c>
      <c r="O3" s="10">
        <v>3</v>
      </c>
      <c r="P3" s="10">
        <v>4</v>
      </c>
      <c r="Q3" s="10">
        <v>6</v>
      </c>
      <c r="R3" s="39"/>
    </row>
    <row r="4" spans="1:18" ht="15" x14ac:dyDescent="0.2">
      <c r="A4" s="1"/>
      <c r="B4" s="1"/>
      <c r="C4" s="57" t="s">
        <v>37</v>
      </c>
      <c r="D4" s="53">
        <v>2.2200000000000002</v>
      </c>
      <c r="E4" s="58">
        <v>2</v>
      </c>
      <c r="F4" s="49"/>
      <c r="G4" s="37"/>
      <c r="H4" s="37" t="s">
        <v>27</v>
      </c>
      <c r="I4" s="38">
        <v>2</v>
      </c>
      <c r="J4" s="38">
        <v>2</v>
      </c>
      <c r="K4" s="38">
        <v>2</v>
      </c>
      <c r="L4" s="38">
        <v>1</v>
      </c>
      <c r="M4" s="39">
        <v>1</v>
      </c>
      <c r="N4" s="39">
        <v>1</v>
      </c>
      <c r="O4" s="39">
        <v>1</v>
      </c>
      <c r="P4" s="39">
        <v>1</v>
      </c>
      <c r="Q4" s="39">
        <v>2</v>
      </c>
      <c r="R4" s="39">
        <f>SUM(I4:Q4)</f>
        <v>13</v>
      </c>
    </row>
    <row r="5" spans="1:18" ht="16" thickBot="1" x14ac:dyDescent="0.25">
      <c r="A5" s="1"/>
      <c r="B5" s="1"/>
      <c r="C5" s="57" t="s">
        <v>38</v>
      </c>
      <c r="D5" s="53">
        <v>2.2200000000000002</v>
      </c>
      <c r="E5" s="58">
        <v>2</v>
      </c>
      <c r="F5" s="49"/>
      <c r="G5" s="37"/>
      <c r="H5" s="37" t="s">
        <v>26</v>
      </c>
      <c r="I5" s="44">
        <v>3</v>
      </c>
      <c r="J5" s="40">
        <v>5</v>
      </c>
      <c r="K5" s="44">
        <v>2</v>
      </c>
      <c r="L5" s="40">
        <v>3</v>
      </c>
      <c r="M5" s="41">
        <v>3</v>
      </c>
      <c r="N5" s="41">
        <v>4</v>
      </c>
      <c r="O5" s="47">
        <v>2</v>
      </c>
      <c r="P5" s="41">
        <v>3</v>
      </c>
      <c r="Q5" s="41">
        <v>4</v>
      </c>
      <c r="R5" s="39">
        <f>SUM(I5:Q5)</f>
        <v>29</v>
      </c>
    </row>
    <row r="6" spans="1:18" ht="16" thickBot="1" x14ac:dyDescent="0.25">
      <c r="A6" s="1"/>
      <c r="B6" s="1"/>
      <c r="C6" s="59" t="s">
        <v>39</v>
      </c>
      <c r="D6" s="60">
        <v>2.2200000000000002</v>
      </c>
      <c r="E6" s="61">
        <v>2</v>
      </c>
      <c r="F6" s="49"/>
      <c r="G6" s="35" t="s">
        <v>19</v>
      </c>
      <c r="H6" s="10">
        <v>8</v>
      </c>
      <c r="I6" s="10">
        <v>7</v>
      </c>
      <c r="J6" s="10">
        <v>6</v>
      </c>
      <c r="K6" s="10">
        <v>5</v>
      </c>
      <c r="L6" s="10">
        <v>4</v>
      </c>
      <c r="M6" s="10">
        <v>4</v>
      </c>
      <c r="N6" s="10">
        <v>5</v>
      </c>
      <c r="O6" s="10">
        <v>4</v>
      </c>
      <c r="P6" s="10">
        <v>6</v>
      </c>
      <c r="Q6" s="10">
        <v>5</v>
      </c>
      <c r="R6" s="39"/>
    </row>
    <row r="7" spans="1:18" ht="16" thickBot="1" x14ac:dyDescent="0.25">
      <c r="A7" s="1"/>
      <c r="B7" s="1"/>
      <c r="C7" s="62" t="s">
        <v>43</v>
      </c>
      <c r="D7" s="63">
        <f>SUM(D2:D6)</f>
        <v>35.519999999999996</v>
      </c>
      <c r="E7" s="64">
        <v>36</v>
      </c>
      <c r="F7" s="49"/>
      <c r="G7" s="37"/>
      <c r="H7" s="37" t="s">
        <v>27</v>
      </c>
      <c r="I7" s="38">
        <v>1</v>
      </c>
      <c r="J7" s="38">
        <v>1</v>
      </c>
      <c r="K7" s="38">
        <v>1</v>
      </c>
      <c r="L7" s="38"/>
      <c r="M7" s="39">
        <v>1</v>
      </c>
      <c r="N7" s="39">
        <v>1</v>
      </c>
      <c r="O7" s="39">
        <v>1</v>
      </c>
      <c r="P7" s="39">
        <v>1</v>
      </c>
      <c r="Q7" s="39">
        <v>1</v>
      </c>
      <c r="R7" s="39">
        <f>SUM(I7:Q7)</f>
        <v>8</v>
      </c>
    </row>
    <row r="8" spans="1:18" ht="16" thickBot="1" x14ac:dyDescent="0.25">
      <c r="A8" s="1"/>
      <c r="B8" s="1"/>
      <c r="C8" s="8"/>
      <c r="D8" s="8"/>
      <c r="E8" s="8"/>
      <c r="F8" s="1"/>
      <c r="G8" s="37"/>
      <c r="H8" s="37" t="s">
        <v>26</v>
      </c>
      <c r="I8" s="40">
        <v>6</v>
      </c>
      <c r="J8" s="40">
        <v>5</v>
      </c>
      <c r="K8" s="40">
        <v>4</v>
      </c>
      <c r="L8" s="40">
        <v>4</v>
      </c>
      <c r="M8" s="41">
        <v>3</v>
      </c>
      <c r="N8" s="41">
        <v>4</v>
      </c>
      <c r="O8" s="41">
        <v>3</v>
      </c>
      <c r="P8" s="41">
        <v>5</v>
      </c>
      <c r="Q8" s="41">
        <v>4</v>
      </c>
      <c r="R8" s="39">
        <f>SUM(I8:Q8)</f>
        <v>38</v>
      </c>
    </row>
    <row r="9" spans="1:18" ht="15" x14ac:dyDescent="0.2">
      <c r="A9" s="1"/>
      <c r="B9" s="1"/>
      <c r="C9" s="8"/>
      <c r="D9" s="8"/>
      <c r="E9" s="8"/>
      <c r="F9" s="1"/>
      <c r="G9" s="35" t="s">
        <v>20</v>
      </c>
      <c r="H9" s="10">
        <v>17</v>
      </c>
      <c r="I9" s="10">
        <v>7</v>
      </c>
      <c r="J9" s="10">
        <v>7</v>
      </c>
      <c r="K9" s="10">
        <v>5</v>
      </c>
      <c r="L9" s="10">
        <v>4</v>
      </c>
      <c r="M9" s="10">
        <v>6</v>
      </c>
      <c r="N9" s="10">
        <v>5</v>
      </c>
      <c r="O9" s="10">
        <v>5</v>
      </c>
      <c r="P9" s="10">
        <v>8</v>
      </c>
      <c r="Q9" s="10">
        <v>8</v>
      </c>
      <c r="R9" s="39"/>
    </row>
    <row r="10" spans="1:18" ht="15" x14ac:dyDescent="0.2">
      <c r="A10" s="1"/>
      <c r="B10" s="1"/>
      <c r="C10" s="8"/>
      <c r="D10" s="8"/>
      <c r="E10" s="8"/>
      <c r="F10" s="1"/>
      <c r="G10" s="37"/>
      <c r="H10" s="37" t="s">
        <v>27</v>
      </c>
      <c r="I10" s="38">
        <v>2</v>
      </c>
      <c r="J10" s="38">
        <v>2</v>
      </c>
      <c r="K10" s="38">
        <v>2</v>
      </c>
      <c r="L10" s="38">
        <v>1</v>
      </c>
      <c r="M10" s="39">
        <v>2</v>
      </c>
      <c r="N10" s="39">
        <v>2</v>
      </c>
      <c r="O10" s="39">
        <v>2</v>
      </c>
      <c r="P10" s="39">
        <v>2</v>
      </c>
      <c r="Q10" s="39">
        <v>2</v>
      </c>
      <c r="R10" s="39">
        <f>SUM(I10:Q10)</f>
        <v>17</v>
      </c>
    </row>
    <row r="11" spans="1:18" ht="16" thickBot="1" x14ac:dyDescent="0.25">
      <c r="A11" s="1"/>
      <c r="B11" s="1"/>
      <c r="C11" s="8"/>
      <c r="D11" s="8"/>
      <c r="E11" s="8"/>
      <c r="F11" s="1"/>
      <c r="G11" s="37"/>
      <c r="H11" s="37" t="s">
        <v>26</v>
      </c>
      <c r="I11" s="40">
        <v>5</v>
      </c>
      <c r="J11" s="40">
        <v>5</v>
      </c>
      <c r="K11" s="40">
        <v>3</v>
      </c>
      <c r="L11" s="40">
        <v>3</v>
      </c>
      <c r="M11" s="41">
        <v>4</v>
      </c>
      <c r="N11" s="47">
        <v>3</v>
      </c>
      <c r="O11" s="41">
        <v>3</v>
      </c>
      <c r="P11" s="41">
        <v>6</v>
      </c>
      <c r="Q11" s="41">
        <v>6</v>
      </c>
      <c r="R11" s="39">
        <f>SUM(I11:Q11)</f>
        <v>38</v>
      </c>
    </row>
    <row r="12" spans="1:18" ht="15" x14ac:dyDescent="0.2">
      <c r="A12" s="1"/>
      <c r="B12" s="1"/>
      <c r="C12" s="8"/>
      <c r="D12" s="8"/>
      <c r="E12" s="8"/>
      <c r="F12" s="1"/>
      <c r="G12" s="35" t="s">
        <v>21</v>
      </c>
      <c r="H12" s="10">
        <v>21</v>
      </c>
      <c r="I12" s="10">
        <v>8</v>
      </c>
      <c r="J12" s="10">
        <v>8</v>
      </c>
      <c r="K12" s="10">
        <v>7</v>
      </c>
      <c r="L12" s="10">
        <v>5</v>
      </c>
      <c r="M12" s="10">
        <v>7</v>
      </c>
      <c r="N12" s="10">
        <v>5</v>
      </c>
      <c r="O12" s="10">
        <v>6</v>
      </c>
      <c r="P12" s="10">
        <v>6</v>
      </c>
      <c r="Q12" s="10">
        <v>9</v>
      </c>
      <c r="R12" s="39"/>
    </row>
    <row r="13" spans="1:18" ht="15" x14ac:dyDescent="0.2">
      <c r="A13" s="1"/>
      <c r="B13" s="1"/>
      <c r="C13" s="8"/>
      <c r="D13" s="8"/>
      <c r="E13" s="8"/>
      <c r="F13" s="1"/>
      <c r="G13" s="37"/>
      <c r="H13" s="37" t="s">
        <v>27</v>
      </c>
      <c r="I13" s="38">
        <v>2</v>
      </c>
      <c r="J13" s="38">
        <v>3</v>
      </c>
      <c r="K13" s="38">
        <v>3</v>
      </c>
      <c r="L13" s="38">
        <v>2</v>
      </c>
      <c r="M13" s="39">
        <v>2</v>
      </c>
      <c r="N13" s="39">
        <v>2</v>
      </c>
      <c r="O13" s="39">
        <v>2</v>
      </c>
      <c r="P13" s="39">
        <v>2</v>
      </c>
      <c r="Q13" s="39">
        <v>3</v>
      </c>
      <c r="R13" s="39">
        <f>SUM(I13:Q13)</f>
        <v>21</v>
      </c>
    </row>
    <row r="14" spans="1:18" ht="16" thickBot="1" x14ac:dyDescent="0.25">
      <c r="A14" s="1"/>
      <c r="B14" s="1"/>
      <c r="C14" s="8"/>
      <c r="D14" s="8"/>
      <c r="E14" s="8"/>
      <c r="F14" s="1"/>
      <c r="G14" s="37"/>
      <c r="H14" s="37" t="s">
        <v>26</v>
      </c>
      <c r="I14" s="40">
        <v>6</v>
      </c>
      <c r="J14" s="40">
        <v>5</v>
      </c>
      <c r="K14" s="40">
        <v>4</v>
      </c>
      <c r="L14" s="40">
        <v>3</v>
      </c>
      <c r="M14" s="41">
        <v>5</v>
      </c>
      <c r="N14" s="47">
        <v>3</v>
      </c>
      <c r="O14" s="41">
        <v>4</v>
      </c>
      <c r="P14" s="41">
        <v>4</v>
      </c>
      <c r="Q14" s="41">
        <v>6</v>
      </c>
      <c r="R14" s="39">
        <f>SUM(I14:Q14)</f>
        <v>40</v>
      </c>
    </row>
    <row r="15" spans="1:18" ht="15" x14ac:dyDescent="0.2">
      <c r="A15" s="1"/>
      <c r="B15" s="1"/>
      <c r="C15" s="8"/>
      <c r="D15" s="8"/>
      <c r="E15" s="8"/>
      <c r="F15" s="1"/>
      <c r="G15" s="35" t="s">
        <v>22</v>
      </c>
      <c r="H15" s="10">
        <v>15</v>
      </c>
      <c r="I15" s="10">
        <v>7</v>
      </c>
      <c r="J15" s="10">
        <v>6</v>
      </c>
      <c r="K15" s="10">
        <v>5</v>
      </c>
      <c r="L15" s="10">
        <v>3</v>
      </c>
      <c r="M15" s="10">
        <v>4</v>
      </c>
      <c r="N15" s="10">
        <v>5</v>
      </c>
      <c r="O15" s="10">
        <v>4</v>
      </c>
      <c r="P15" s="10">
        <v>3</v>
      </c>
      <c r="Q15" s="10">
        <v>5</v>
      </c>
      <c r="R15" s="39"/>
    </row>
    <row r="16" spans="1:18" ht="15" x14ac:dyDescent="0.2">
      <c r="A16" s="1"/>
      <c r="B16" s="1"/>
      <c r="C16" s="8"/>
      <c r="D16" s="8"/>
      <c r="E16" s="8"/>
      <c r="F16" s="1"/>
      <c r="G16" s="37"/>
      <c r="H16" s="37" t="s">
        <v>27</v>
      </c>
      <c r="I16" s="38">
        <v>2</v>
      </c>
      <c r="J16" s="38">
        <v>2</v>
      </c>
      <c r="K16" s="38">
        <v>2</v>
      </c>
      <c r="L16" s="38">
        <v>1</v>
      </c>
      <c r="M16" s="39">
        <v>2</v>
      </c>
      <c r="N16" s="39">
        <v>1</v>
      </c>
      <c r="O16" s="39">
        <v>1</v>
      </c>
      <c r="P16" s="39">
        <v>2</v>
      </c>
      <c r="Q16" s="39">
        <v>2</v>
      </c>
      <c r="R16" s="39">
        <f>SUM(I16:Q16)</f>
        <v>15</v>
      </c>
    </row>
    <row r="17" spans="1:18" ht="16" thickBot="1" x14ac:dyDescent="0.25">
      <c r="A17" s="1"/>
      <c r="B17" s="1"/>
      <c r="C17" s="8"/>
      <c r="D17" s="8"/>
      <c r="E17" s="8"/>
      <c r="F17" s="1"/>
      <c r="G17" s="37"/>
      <c r="H17" s="37" t="s">
        <v>26</v>
      </c>
      <c r="I17" s="40">
        <v>5</v>
      </c>
      <c r="J17" s="44">
        <v>4</v>
      </c>
      <c r="K17" s="40">
        <v>3</v>
      </c>
      <c r="L17" s="44">
        <v>2</v>
      </c>
      <c r="M17" s="47">
        <v>2</v>
      </c>
      <c r="N17" s="41">
        <v>4</v>
      </c>
      <c r="O17" s="41">
        <v>3</v>
      </c>
      <c r="P17" s="47">
        <v>1</v>
      </c>
      <c r="Q17" s="47">
        <v>3</v>
      </c>
      <c r="R17" s="39">
        <f>SUM(I17:Q17)</f>
        <v>27</v>
      </c>
    </row>
    <row r="18" spans="1:18" ht="15" x14ac:dyDescent="0.2">
      <c r="A18" s="1"/>
      <c r="B18" s="1"/>
      <c r="C18" s="8"/>
      <c r="D18" s="8"/>
      <c r="E18" s="8"/>
      <c r="F18" s="1"/>
      <c r="G18" s="35" t="s">
        <v>23</v>
      </c>
      <c r="H18" s="10">
        <v>22</v>
      </c>
      <c r="I18" s="10">
        <v>6</v>
      </c>
      <c r="J18" s="10">
        <v>8</v>
      </c>
      <c r="K18" s="10">
        <v>6</v>
      </c>
      <c r="L18" s="10">
        <v>6</v>
      </c>
      <c r="M18" s="10">
        <v>7</v>
      </c>
      <c r="N18" s="10">
        <v>7</v>
      </c>
      <c r="O18" s="10">
        <v>7</v>
      </c>
      <c r="P18" s="10">
        <v>6</v>
      </c>
      <c r="Q18" s="10">
        <v>6</v>
      </c>
      <c r="R18" s="39"/>
    </row>
    <row r="19" spans="1:18" ht="15" x14ac:dyDescent="0.2">
      <c r="A19" s="1"/>
      <c r="B19" s="1"/>
      <c r="C19" s="8"/>
      <c r="D19" s="8"/>
      <c r="E19" s="8"/>
      <c r="F19" s="1"/>
      <c r="G19" s="37"/>
      <c r="H19" s="37" t="s">
        <v>27</v>
      </c>
      <c r="I19" s="38">
        <v>3</v>
      </c>
      <c r="J19" s="38">
        <v>3</v>
      </c>
      <c r="K19" s="38">
        <v>3</v>
      </c>
      <c r="L19" s="38">
        <v>2</v>
      </c>
      <c r="M19" s="39">
        <v>2</v>
      </c>
      <c r="N19" s="39">
        <v>2</v>
      </c>
      <c r="O19" s="39">
        <v>2</v>
      </c>
      <c r="P19" s="39">
        <v>2</v>
      </c>
      <c r="Q19" s="39">
        <v>3</v>
      </c>
      <c r="R19" s="39">
        <f>SUM(I19:Q19)</f>
        <v>22</v>
      </c>
    </row>
    <row r="20" spans="1:18" ht="16" thickBot="1" x14ac:dyDescent="0.25">
      <c r="A20" s="1"/>
      <c r="B20" s="1"/>
      <c r="C20" s="8"/>
      <c r="D20" s="8"/>
      <c r="E20" s="8"/>
      <c r="F20" s="1"/>
      <c r="G20" s="37"/>
      <c r="H20" s="37" t="s">
        <v>26</v>
      </c>
      <c r="I20" s="44">
        <v>3</v>
      </c>
      <c r="J20" s="40">
        <v>5</v>
      </c>
      <c r="K20" s="40">
        <v>3</v>
      </c>
      <c r="L20" s="40">
        <v>4</v>
      </c>
      <c r="M20" s="41">
        <v>5</v>
      </c>
      <c r="N20" s="41">
        <v>5</v>
      </c>
      <c r="O20" s="41">
        <v>5</v>
      </c>
      <c r="P20" s="41">
        <v>4</v>
      </c>
      <c r="Q20" s="47">
        <v>3</v>
      </c>
      <c r="R20" s="39">
        <f>SUM(I20:Q20)</f>
        <v>37</v>
      </c>
    </row>
    <row r="21" spans="1:18" ht="15" x14ac:dyDescent="0.2">
      <c r="A21" s="1"/>
      <c r="B21" s="1"/>
      <c r="C21" s="8"/>
      <c r="D21" s="8"/>
      <c r="E21" s="8"/>
      <c r="F21" s="1"/>
      <c r="G21" s="35" t="s">
        <v>24</v>
      </c>
      <c r="H21" s="10">
        <v>18</v>
      </c>
      <c r="I21" s="10">
        <v>5</v>
      </c>
      <c r="J21" s="10">
        <v>8</v>
      </c>
      <c r="K21" s="10">
        <v>8</v>
      </c>
      <c r="L21" s="10">
        <v>6</v>
      </c>
      <c r="M21" s="10">
        <v>4</v>
      </c>
      <c r="N21" s="10">
        <v>6</v>
      </c>
      <c r="O21" s="10">
        <v>6</v>
      </c>
      <c r="P21" s="10">
        <v>6</v>
      </c>
      <c r="Q21" s="10">
        <v>7</v>
      </c>
      <c r="R21" s="39"/>
    </row>
    <row r="22" spans="1:18" ht="15" x14ac:dyDescent="0.2">
      <c r="A22" s="1"/>
      <c r="B22" s="1"/>
      <c r="C22" s="8"/>
      <c r="D22" s="8"/>
      <c r="E22" s="8"/>
      <c r="F22" s="1"/>
      <c r="G22" s="37"/>
      <c r="H22" s="37" t="s">
        <v>27</v>
      </c>
      <c r="I22" s="38">
        <v>2</v>
      </c>
      <c r="J22" s="38">
        <v>2</v>
      </c>
      <c r="K22" s="38">
        <v>2</v>
      </c>
      <c r="L22" s="38">
        <v>2</v>
      </c>
      <c r="M22" s="39">
        <v>2</v>
      </c>
      <c r="N22" s="39">
        <v>2</v>
      </c>
      <c r="O22" s="39">
        <v>2</v>
      </c>
      <c r="P22" s="39">
        <v>2</v>
      </c>
      <c r="Q22" s="39">
        <v>2</v>
      </c>
      <c r="R22" s="39">
        <f>SUM(I22:Q22)</f>
        <v>18</v>
      </c>
    </row>
    <row r="23" spans="1:18" ht="16" thickBot="1" x14ac:dyDescent="0.25">
      <c r="A23" s="1"/>
      <c r="B23" s="1"/>
      <c r="C23" s="8"/>
      <c r="D23" s="8"/>
      <c r="E23" s="8"/>
      <c r="F23" s="1"/>
      <c r="G23" s="37"/>
      <c r="H23" s="37" t="s">
        <v>26</v>
      </c>
      <c r="I23" s="44">
        <v>3</v>
      </c>
      <c r="J23" s="40">
        <v>6</v>
      </c>
      <c r="K23" s="40">
        <v>6</v>
      </c>
      <c r="L23" s="40">
        <v>4</v>
      </c>
      <c r="M23" s="47">
        <v>2</v>
      </c>
      <c r="N23" s="41">
        <v>4</v>
      </c>
      <c r="O23" s="41">
        <v>4</v>
      </c>
      <c r="P23" s="41">
        <v>4</v>
      </c>
      <c r="Q23" s="41">
        <v>5</v>
      </c>
      <c r="R23" s="39">
        <f>SUM(I23:Q23)</f>
        <v>38</v>
      </c>
    </row>
    <row r="24" spans="1:18" ht="15" x14ac:dyDescent="0.2">
      <c r="A24" s="1"/>
      <c r="B24" s="1"/>
      <c r="C24" s="8"/>
      <c r="D24" s="8"/>
      <c r="E24" s="8"/>
      <c r="F24" s="1"/>
      <c r="G24" s="35" t="s">
        <v>25</v>
      </c>
      <c r="H24" s="10">
        <v>8</v>
      </c>
      <c r="I24" s="10">
        <v>5</v>
      </c>
      <c r="J24" s="10">
        <v>8</v>
      </c>
      <c r="K24" s="10">
        <v>6</v>
      </c>
      <c r="L24" s="10">
        <v>5</v>
      </c>
      <c r="M24" s="10">
        <v>4</v>
      </c>
      <c r="N24" s="10">
        <v>5</v>
      </c>
      <c r="O24" s="10">
        <v>4</v>
      </c>
      <c r="P24" s="10">
        <v>4</v>
      </c>
      <c r="Q24" s="10">
        <v>4</v>
      </c>
    </row>
    <row r="25" spans="1:18" ht="15" customHeight="1" x14ac:dyDescent="0.2">
      <c r="A25" s="1"/>
      <c r="B25" s="1"/>
      <c r="C25" s="8"/>
      <c r="D25" s="8"/>
      <c r="E25" s="8"/>
      <c r="F25" s="1"/>
      <c r="G25" s="1"/>
      <c r="H25" s="1" t="s">
        <v>27</v>
      </c>
      <c r="I25" s="8">
        <v>1</v>
      </c>
      <c r="J25" s="8">
        <v>1</v>
      </c>
      <c r="K25" s="8">
        <v>1</v>
      </c>
      <c r="L25" s="8"/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f>SUM(I25:Q25)</f>
        <v>8</v>
      </c>
    </row>
    <row r="26" spans="1:18" ht="15" customHeight="1" x14ac:dyDescent="0.2">
      <c r="A26" s="1"/>
      <c r="B26" s="1"/>
      <c r="C26" s="8"/>
      <c r="D26" s="8"/>
      <c r="E26" s="8"/>
      <c r="F26" s="1"/>
      <c r="G26" s="1"/>
      <c r="H26" s="1" t="s">
        <v>26</v>
      </c>
      <c r="I26" s="42">
        <v>4</v>
      </c>
      <c r="J26" s="42">
        <v>7</v>
      </c>
      <c r="K26" s="42">
        <v>5</v>
      </c>
      <c r="L26" s="42">
        <v>5</v>
      </c>
      <c r="M26" s="43">
        <v>3</v>
      </c>
      <c r="N26" s="43">
        <v>4</v>
      </c>
      <c r="O26" s="43">
        <v>3</v>
      </c>
      <c r="P26" s="43">
        <v>3</v>
      </c>
      <c r="Q26" s="48">
        <v>3</v>
      </c>
      <c r="R26" s="27">
        <f>SUM(I26:Q26)</f>
        <v>37</v>
      </c>
    </row>
    <row r="27" spans="1:18" ht="15" x14ac:dyDescent="0.2">
      <c r="A27" s="1"/>
      <c r="B27" s="1"/>
      <c r="C27" s="8"/>
      <c r="D27" s="8"/>
      <c r="E27" s="8"/>
      <c r="F27" s="1"/>
      <c r="G27" s="1"/>
      <c r="H27" s="1"/>
      <c r="I27" s="8"/>
      <c r="J27" s="8"/>
      <c r="K27" s="8"/>
      <c r="L27" s="8"/>
    </row>
    <row r="28" spans="1:18" ht="15" x14ac:dyDescent="0.2">
      <c r="A28" s="1"/>
      <c r="B28" s="1"/>
      <c r="C28" s="8"/>
      <c r="D28" s="8"/>
      <c r="E28" s="8"/>
      <c r="F28" s="1"/>
      <c r="G28" s="1"/>
      <c r="H28" s="1"/>
      <c r="I28" s="8" t="s">
        <v>28</v>
      </c>
      <c r="J28" s="8" t="s">
        <v>29</v>
      </c>
      <c r="K28" s="8" t="s">
        <v>31</v>
      </c>
      <c r="L28" s="8" t="s">
        <v>31</v>
      </c>
      <c r="M28" s="27" t="s">
        <v>33</v>
      </c>
      <c r="N28" s="27" t="s">
        <v>33</v>
      </c>
      <c r="O28" s="27" t="s">
        <v>31</v>
      </c>
      <c r="P28" s="27" t="s">
        <v>31</v>
      </c>
      <c r="Q28" s="27" t="s">
        <v>34</v>
      </c>
    </row>
    <row r="29" spans="1:18" ht="15" x14ac:dyDescent="0.2">
      <c r="A29" s="1"/>
      <c r="B29" s="1"/>
      <c r="C29" s="8"/>
      <c r="D29" s="8"/>
      <c r="E29" s="8"/>
      <c r="F29" s="1"/>
      <c r="G29" s="1"/>
      <c r="H29" s="1"/>
      <c r="I29" s="8"/>
      <c r="J29" s="8" t="s">
        <v>30</v>
      </c>
      <c r="K29" s="8" t="s">
        <v>32</v>
      </c>
      <c r="L29" s="8" t="s">
        <v>30</v>
      </c>
      <c r="M29" s="27" t="s">
        <v>30</v>
      </c>
      <c r="N29" s="27" t="s">
        <v>15</v>
      </c>
      <c r="O29" s="27" t="s">
        <v>32</v>
      </c>
      <c r="P29" s="27" t="s">
        <v>30</v>
      </c>
    </row>
    <row r="30" spans="1:18" ht="15" x14ac:dyDescent="0.2">
      <c r="A30" s="1"/>
      <c r="B30" s="1"/>
      <c r="C30" s="8"/>
      <c r="D30" s="8"/>
      <c r="E30" s="8"/>
      <c r="F30" s="1"/>
      <c r="G30" s="1"/>
      <c r="H30" s="1"/>
      <c r="I30" s="8"/>
      <c r="J30" s="45">
        <v>8.8800000000000008</v>
      </c>
      <c r="K30" s="45">
        <v>4.4400000000000004</v>
      </c>
      <c r="L30" s="45">
        <v>4.4400000000000004</v>
      </c>
      <c r="M30" s="46">
        <v>2.2200000000000002</v>
      </c>
      <c r="N30" s="46">
        <v>2.2200000000000002</v>
      </c>
      <c r="O30" s="46">
        <v>4.4400000000000004</v>
      </c>
      <c r="P30" s="46">
        <v>4.4400000000000004</v>
      </c>
    </row>
    <row r="31" spans="1:18" ht="15" x14ac:dyDescent="0.2">
      <c r="A31" s="1"/>
      <c r="B31" s="1"/>
      <c r="C31" s="8"/>
      <c r="D31" s="8"/>
      <c r="E31" s="8"/>
      <c r="F31" s="1"/>
      <c r="G31" s="1"/>
      <c r="H31" s="1"/>
      <c r="I31" s="8"/>
      <c r="J31" s="8"/>
      <c r="K31" s="8"/>
      <c r="L31" s="8"/>
      <c r="M31" s="27" t="s">
        <v>16</v>
      </c>
      <c r="N31" s="27" t="s">
        <v>17</v>
      </c>
    </row>
    <row r="32" spans="1:18" ht="15" x14ac:dyDescent="0.2">
      <c r="A32" s="1"/>
      <c r="B32" s="1"/>
      <c r="C32" s="8"/>
      <c r="D32" s="8"/>
      <c r="E32" s="8"/>
      <c r="F32" s="1"/>
      <c r="M32" s="46">
        <v>2.2200000000000002</v>
      </c>
      <c r="N32" s="46">
        <v>2.2200000000000002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99F1-2E00-AB44-B4C6-8EC9DCB1ADA8}">
  <dimension ref="A1:C7"/>
  <sheetViews>
    <sheetView workbookViewId="0">
      <selection activeCell="E38" sqref="E38"/>
    </sheetView>
  </sheetViews>
  <sheetFormatPr baseColWidth="10" defaultRowHeight="15" x14ac:dyDescent="0.2"/>
  <cols>
    <col min="1" max="1" width="19.1640625" customWidth="1"/>
  </cols>
  <sheetData>
    <row r="1" spans="1:3" x14ac:dyDescent="0.2">
      <c r="A1" s="54" t="s">
        <v>42</v>
      </c>
      <c r="B1" s="55" t="s">
        <v>40</v>
      </c>
      <c r="C1" s="56" t="s">
        <v>41</v>
      </c>
    </row>
    <row r="2" spans="1:3" x14ac:dyDescent="0.2">
      <c r="A2" s="65" t="s">
        <v>14</v>
      </c>
      <c r="B2" s="66"/>
      <c r="C2" s="67"/>
    </row>
    <row r="3" spans="1:3" x14ac:dyDescent="0.2">
      <c r="A3" s="68"/>
      <c r="B3" s="69"/>
      <c r="C3" s="70"/>
    </row>
    <row r="4" spans="1:3" x14ac:dyDescent="0.2">
      <c r="A4" s="68"/>
      <c r="B4" s="69"/>
      <c r="C4" s="70"/>
    </row>
    <row r="5" spans="1:3" x14ac:dyDescent="0.2">
      <c r="A5" s="68"/>
      <c r="B5" s="69"/>
      <c r="C5" s="70"/>
    </row>
    <row r="6" spans="1:3" ht="16" thickBot="1" x14ac:dyDescent="0.25">
      <c r="A6" s="71"/>
      <c r="B6" s="72"/>
      <c r="C6" s="73"/>
    </row>
    <row r="7" spans="1:3" ht="16" thickBot="1" x14ac:dyDescent="0.25">
      <c r="A7" s="62" t="s">
        <v>43</v>
      </c>
      <c r="B7" s="63">
        <f>SUM(B2:B6)</f>
        <v>0</v>
      </c>
      <c r="C7" s="63">
        <f>SUM(C2:C6)</f>
        <v>0</v>
      </c>
    </row>
  </sheetData>
  <mergeCells count="1">
    <mergeCell ref="A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Week 1</vt:lpstr>
      <vt:lpstr>Week 2</vt:lpstr>
      <vt:lpstr>Week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Hutter, Mark [US-US]</dc:creator>
  <cp:keywords/>
  <dc:description/>
  <cp:lastModifiedBy>Mark Hutter</cp:lastModifiedBy>
  <cp:revision/>
  <dcterms:created xsi:type="dcterms:W3CDTF">2024-05-07T15:07:02Z</dcterms:created>
  <dcterms:modified xsi:type="dcterms:W3CDTF">2025-05-22T22:49:20Z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