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0F8A3CA5-59AA-0B4D-8B9D-0BEE87613743}" xr6:coauthVersionLast="47" xr6:coauthVersionMax="47" xr10:uidLastSave="{00000000-0000-0000-0000-000000000000}"/>
  <bookViews>
    <workbookView xWindow="10760" yWindow="3400" windowWidth="27640" windowHeight="1694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" l="1"/>
  <c r="J22" i="1"/>
  <c r="F22" i="1"/>
  <c r="R21" i="1"/>
  <c r="R20" i="1"/>
  <c r="N20" i="1"/>
  <c r="R19" i="1"/>
  <c r="N19" i="1"/>
  <c r="R18" i="1"/>
  <c r="N18" i="1"/>
  <c r="R17" i="1"/>
  <c r="O17" i="1"/>
  <c r="N17" i="1"/>
  <c r="R16" i="1"/>
  <c r="O16" i="1"/>
  <c r="N16" i="1"/>
  <c r="R15" i="1"/>
  <c r="O15" i="1"/>
  <c r="N15" i="1"/>
  <c r="R14" i="1"/>
  <c r="O14" i="1"/>
  <c r="N14" i="1"/>
  <c r="R13" i="1"/>
  <c r="S13" i="1" s="1"/>
  <c r="O13" i="1"/>
  <c r="N13" i="1"/>
  <c r="R12" i="1"/>
  <c r="S12" i="1" s="1"/>
  <c r="O12" i="1"/>
  <c r="N12" i="1"/>
  <c r="R11" i="1"/>
  <c r="S11" i="1" s="1"/>
  <c r="O11" i="1"/>
  <c r="N11" i="1"/>
  <c r="R10" i="1"/>
  <c r="S10" i="1" s="1"/>
  <c r="O10" i="1"/>
  <c r="N10" i="1"/>
  <c r="R9" i="1"/>
  <c r="S9" i="1" s="1"/>
  <c r="O9" i="1"/>
  <c r="N9" i="1"/>
  <c r="R8" i="1"/>
  <c r="S8" i="1" s="1"/>
  <c r="O8" i="1"/>
  <c r="N8" i="1"/>
  <c r="R7" i="1"/>
  <c r="S7" i="1" s="1"/>
  <c r="O7" i="1"/>
  <c r="N7" i="1"/>
  <c r="S6" i="1"/>
  <c r="R6" i="1"/>
  <c r="O6" i="1"/>
  <c r="N6" i="1"/>
  <c r="R5" i="1"/>
  <c r="S5" i="1" s="1"/>
  <c r="O5" i="1"/>
  <c r="N5" i="1"/>
  <c r="R4" i="1"/>
  <c r="S4" i="1" s="1"/>
  <c r="O4" i="1"/>
  <c r="N4" i="1"/>
</calcChain>
</file>

<file path=xl/sharedStrings.xml><?xml version="1.0" encoding="utf-8"?>
<sst xmlns="http://schemas.openxmlformats.org/spreadsheetml/2006/main" count="79" uniqueCount="58">
  <si>
    <t>PLAYERS</t>
  </si>
  <si>
    <t>9-HOLE 
HANDICAP (from 2024)</t>
  </si>
  <si>
    <t>WEEK 1</t>
  </si>
  <si>
    <t>Total Strokes</t>
  </si>
  <si>
    <t>FIRST HALF (11 Rounds)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</si>
  <si>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</si>
  <si>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</si>
  <si>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</si>
  <si>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</si>
  <si>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</si>
  <si>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</si>
  <si>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</si>
  <si>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</si>
  <si>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</si>
  <si>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</si>
  <si>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</si>
  <si>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</si>
  <si>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</si>
  <si>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</si>
  <si>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</si>
  <si>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</si>
  <si>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</si>
  <si>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</si>
  <si>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</si>
  <si>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</si>
  <si>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</si>
  <si>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</si>
  <si>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</si>
  <si>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</si>
  <si>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</si>
  <si>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</si>
  <si>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</si>
  <si>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</si>
  <si>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</si>
  <si>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</si>
  <si>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</si>
  <si>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</si>
  <si>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</si>
  <si>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</si>
  <si>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</si>
  <si>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</si>
  <si>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</si>
  <si>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</si>
  <si>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</si>
  <si>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</si>
  <si>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</si>
  <si>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RAIN OUT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</si>
  <si>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</si>
  <si>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</si>
  <si>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</si>
  <si>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</si>
  <si>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</si>
  <si>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</si>
  <si>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</si>
  <si>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</si>
  <si>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</si>
  <si>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SECOND HALF (11 Rounds)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</si>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</sst>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5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2" borderId="14" xfId="0" applyNumberFormat="1" applyFill="1" applyBorder="1" applyAlignment="1">
      <alignment horizontal="center" vertical="center"/>
    </xf>
    <xf numFmtId="1" fontId="0" fillId="0" borderId="1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1" fontId="5" fillId="0" borderId="27" xfId="0" applyNumberFormat="1" applyFont="1" applyBorder="1" applyAlignment="1">
      <alignment horizont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" fontId="0" fillId="0" borderId="36" xfId="0" applyNumberForma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38" xfId="0" applyNumberFormat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1" fontId="12" fillId="3" borderId="1" xfId="0" applyNumberFormat="1" applyFont="1" applyFill="1" applyBorder="1" applyAlignment="1">
      <alignment horizontal="center" vertical="center" textRotation="90"/>
    </xf>
    <xf numFmtId="1" fontId="12" fillId="3" borderId="2" xfId="0" applyNumberFormat="1" applyFont="1" applyFill="1" applyBorder="1" applyAlignment="1">
      <alignment horizontal="center" vertical="center" textRotation="90"/>
    </xf>
    <xf numFmtId="1" fontId="12" fillId="3" borderId="9" xfId="0" applyNumberFormat="1" applyFont="1" applyFill="1" applyBorder="1" applyAlignment="1">
      <alignment horizontal="center" vertical="center" textRotation="90"/>
    </xf>
    <xf numFmtId="1" fontId="12" fillId="3" borderId="10" xfId="0" applyNumberFormat="1" applyFont="1" applyFill="1" applyBorder="1" applyAlignment="1">
      <alignment horizontal="center" vertical="center" textRotation="90"/>
    </xf>
    <xf numFmtId="1" fontId="12" fillId="3" borderId="18" xfId="0" applyNumberFormat="1" applyFont="1" applyFill="1" applyBorder="1" applyAlignment="1">
      <alignment horizontal="center" vertical="center" textRotation="90"/>
    </xf>
    <xf numFmtId="1" fontId="12" fillId="3" borderId="19" xfId="0" applyNumberFormat="1" applyFont="1" applyFill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42" xfId="0" applyNumberFormat="1" applyFont="1" applyBorder="1" applyAlignment="1">
      <alignment horizontal="center" vertical="center"/>
    </xf>
    <xf numFmtId="0" fontId="10" fillId="0" borderId="0" xfId="0" applyFont="1"/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" fontId="0" fillId="0" borderId="33" xfId="0" applyNumberFormat="1" applyBorder="1" applyAlignment="1">
      <alignment horizontal="center"/>
    </xf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0" fontId="10" fillId="0" borderId="24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X26"/>
  <sheetViews>
    <sheetView tabSelected="1" workbookViewId="0">
      <selection activeCell="AC20" sqref="AC20"/>
    </sheetView>
  </sheetViews>
  <sheetFormatPr baseColWidth="10" defaultColWidth="9.1640625" defaultRowHeight="16" x14ac:dyDescent="0.2"/>
  <cols>
    <col min="1" max="1" width="10" customWidth="1"/>
    <col min="2" max="2" width="8" customWidth="1"/>
    <col min="3" max="3" width="11.1640625" customWidth="1"/>
    <col min="4" max="4" width="7.5" hidden="1" customWidth="1"/>
    <col min="5" max="5" width="12.1640625" hidden="1" customWidth="1"/>
    <col min="6" max="6" width="6.83203125" hidden="1" customWidth="1"/>
    <col min="7" max="7" width="1.1640625" hidden="1" customWidth="1"/>
    <col min="8" max="13" width="6.83203125" customWidth="1"/>
    <col min="14" max="15" width="6.6640625" customWidth="1"/>
    <col min="16" max="16" width="6" customWidth="1"/>
    <col min="17" max="17" width="5.6640625" customWidth="1"/>
    <col min="18" max="18" width="6.33203125" customWidth="1"/>
    <col min="19" max="19" width="10.83203125" customWidth="1"/>
    <col min="20" max="20" width="8.5" hidden="1" customWidth="1"/>
    <col min="21" max="22" width="6.83203125" hidden="1" customWidth="1"/>
    <col min="23" max="23" width="8.5" hidden="1" customWidth="1"/>
    <col min="24" max="24" width="10.6640625" hidden="1" customWidth="1"/>
  </cols>
  <sheetData>
    <row r="1" spans="1:24" s="92" customFormat="1" ht="17" customHeight="1" thickBot="1" x14ac:dyDescent="0.25">
      <c r="A1" s="81" t="s">
        <v>0</v>
      </c>
      <c r="B1" s="82"/>
      <c r="C1" s="87" t="s">
        <v>1</v>
      </c>
      <c r="D1" s="66" t="s">
        <v>2</v>
      </c>
      <c r="E1" s="67"/>
      <c r="F1" s="66" t="s">
        <v>45</v>
      </c>
      <c r="G1" s="67"/>
      <c r="H1" s="66" t="s">
        <v>47</v>
      </c>
      <c r="I1" s="67"/>
      <c r="J1" s="66" t="s">
        <v>48</v>
      </c>
      <c r="K1" s="67"/>
      <c r="L1" s="66" t="s">
        <v>50</v>
      </c>
      <c r="M1" s="67"/>
      <c r="N1" s="68" t="s">
        <v>3</v>
      </c>
      <c r="O1" s="70" t="s">
        <v>4</v>
      </c>
      <c r="P1" s="71"/>
      <c r="Q1" s="71"/>
      <c r="R1" s="71"/>
      <c r="S1" s="72"/>
      <c r="T1" s="89" t="s">
        <v>56</v>
      </c>
      <c r="U1" s="90"/>
      <c r="V1" s="90"/>
      <c r="W1" s="90"/>
      <c r="X1" s="91"/>
    </row>
    <row r="2" spans="1:24" s="92" customFormat="1" ht="16" customHeight="1" x14ac:dyDescent="0.2">
      <c r="A2" s="83"/>
      <c r="B2" s="84"/>
      <c r="C2" s="88"/>
      <c r="D2" s="58">
        <v>45782</v>
      </c>
      <c r="E2" s="59"/>
      <c r="F2" s="58">
        <v>45789</v>
      </c>
      <c r="G2" s="59"/>
      <c r="H2" s="58">
        <v>45796</v>
      </c>
      <c r="I2" s="59"/>
      <c r="J2" s="58">
        <v>45803</v>
      </c>
      <c r="K2" s="59"/>
      <c r="L2" s="58">
        <v>45810</v>
      </c>
      <c r="M2" s="59"/>
      <c r="N2" s="69"/>
      <c r="O2" s="60" t="s">
        <v>5</v>
      </c>
      <c r="P2" s="62" t="s">
        <v>6</v>
      </c>
      <c r="Q2" s="64" t="s">
        <v>7</v>
      </c>
      <c r="R2" s="60" t="s">
        <v>8</v>
      </c>
      <c r="S2" s="73" t="s">
        <v>9</v>
      </c>
      <c r="T2" s="93" t="s">
        <v>5</v>
      </c>
      <c r="U2" s="93" t="s">
        <v>6</v>
      </c>
      <c r="V2" s="93" t="s">
        <v>7</v>
      </c>
      <c r="W2" s="93" t="s">
        <v>8</v>
      </c>
      <c r="X2" s="93" t="s">
        <v>9</v>
      </c>
    </row>
    <row r="3" spans="1:24" s="92" customFormat="1" ht="15" thickBot="1" x14ac:dyDescent="0.25">
      <c r="A3" s="85"/>
      <c r="B3" s="86"/>
      <c r="C3" s="88"/>
      <c r="D3" s="1" t="s">
        <v>10</v>
      </c>
      <c r="E3" s="2" t="s">
        <v>11</v>
      </c>
      <c r="F3" s="1" t="s">
        <v>10</v>
      </c>
      <c r="G3" s="2" t="s">
        <v>11</v>
      </c>
      <c r="H3" s="1" t="s">
        <v>10</v>
      </c>
      <c r="I3" s="2" t="s">
        <v>11</v>
      </c>
      <c r="J3" s="1" t="s">
        <v>10</v>
      </c>
      <c r="K3" s="2" t="s">
        <v>11</v>
      </c>
      <c r="L3" s="1" t="s">
        <v>10</v>
      </c>
      <c r="M3" s="2" t="s">
        <v>11</v>
      </c>
      <c r="N3" s="69"/>
      <c r="O3" s="61"/>
      <c r="P3" s="63"/>
      <c r="Q3" s="65"/>
      <c r="R3" s="61"/>
      <c r="S3" s="74"/>
      <c r="T3" s="94"/>
      <c r="U3" s="94"/>
      <c r="V3" s="94"/>
      <c r="W3" s="94"/>
      <c r="X3" s="94"/>
    </row>
    <row r="4" spans="1:24" ht="16" customHeight="1" x14ac:dyDescent="0.2">
      <c r="A4" s="3" t="s">
        <v>16</v>
      </c>
      <c r="B4" s="4" t="s">
        <v>17</v>
      </c>
      <c r="C4" s="5">
        <v>22</v>
      </c>
      <c r="D4" s="75" t="s">
        <v>46</v>
      </c>
      <c r="E4" s="76"/>
      <c r="F4" s="6">
        <v>53</v>
      </c>
      <c r="G4" s="7">
        <v>23</v>
      </c>
      <c r="H4" s="75" t="s">
        <v>46</v>
      </c>
      <c r="I4" s="76"/>
      <c r="J4" s="6"/>
      <c r="K4" s="7"/>
      <c r="L4" s="6"/>
      <c r="M4" s="7"/>
      <c r="N4" s="44">
        <f>F4+J4+L4</f>
        <v>53</v>
      </c>
      <c r="O4" s="8">
        <f>COUNTIF(D4:L4,"&gt;30")</f>
        <v>1</v>
      </c>
      <c r="P4" s="45"/>
      <c r="Q4" s="7"/>
      <c r="R4" s="46">
        <f>SUMIF(G4:M4, "&lt;30")+P4+Q4</f>
        <v>23</v>
      </c>
      <c r="S4" s="36">
        <f>R4/O4</f>
        <v>23</v>
      </c>
      <c r="T4" s="95"/>
      <c r="U4" s="46"/>
      <c r="V4" s="46"/>
      <c r="W4" s="8"/>
      <c r="X4" s="96" t="s">
        <v>57</v>
      </c>
    </row>
    <row r="5" spans="1:24" ht="16" customHeight="1" x14ac:dyDescent="0.2">
      <c r="A5" s="9" t="s">
        <v>12</v>
      </c>
      <c r="B5" s="10" t="s">
        <v>13</v>
      </c>
      <c r="C5" s="11">
        <v>15</v>
      </c>
      <c r="D5" s="77"/>
      <c r="E5" s="78"/>
      <c r="F5" s="15">
        <v>42</v>
      </c>
      <c r="G5" s="13">
        <v>27</v>
      </c>
      <c r="H5" s="77"/>
      <c r="I5" s="78"/>
      <c r="J5" s="15"/>
      <c r="K5" s="13"/>
      <c r="L5" s="15">
        <v>54</v>
      </c>
      <c r="M5" s="13">
        <v>15</v>
      </c>
      <c r="N5" s="47">
        <f>F5+J5+L5</f>
        <v>96</v>
      </c>
      <c r="O5" s="14">
        <f>COUNTIF(D5:L5,"&gt;30")</f>
        <v>2</v>
      </c>
      <c r="P5" s="48"/>
      <c r="Q5" s="13"/>
      <c r="R5" s="49">
        <f>SUMIF(G5:M5, "&lt;30")+P5+Q5</f>
        <v>42</v>
      </c>
      <c r="S5" s="37">
        <f>R5/O5</f>
        <v>21</v>
      </c>
      <c r="T5" s="97"/>
      <c r="U5" s="49"/>
      <c r="V5" s="49"/>
      <c r="W5" s="14"/>
      <c r="X5" s="98"/>
    </row>
    <row r="6" spans="1:24" ht="16" customHeight="1" x14ac:dyDescent="0.2">
      <c r="A6" s="9" t="s">
        <v>14</v>
      </c>
      <c r="B6" s="10" t="s">
        <v>15</v>
      </c>
      <c r="C6" s="11">
        <v>13</v>
      </c>
      <c r="D6" s="77"/>
      <c r="E6" s="78"/>
      <c r="F6" s="12">
        <v>42</v>
      </c>
      <c r="G6" s="13">
        <v>25</v>
      </c>
      <c r="H6" s="77"/>
      <c r="I6" s="78"/>
      <c r="J6" s="12"/>
      <c r="K6" s="13"/>
      <c r="L6" s="50">
        <v>51</v>
      </c>
      <c r="M6" s="13">
        <v>16</v>
      </c>
      <c r="N6" s="47">
        <f>F6+J6+L6</f>
        <v>93</v>
      </c>
      <c r="O6" s="14">
        <f>COUNTIF(D6:L6,"&gt;30")</f>
        <v>2</v>
      </c>
      <c r="P6" s="48">
        <v>1</v>
      </c>
      <c r="Q6" s="13"/>
      <c r="R6" s="49">
        <f>SUMIF(G6:M6, "&lt;30")+P6+Q6</f>
        <v>42</v>
      </c>
      <c r="S6" s="37">
        <f>R6/O6</f>
        <v>21</v>
      </c>
      <c r="T6" s="97"/>
      <c r="U6" s="49"/>
      <c r="V6" s="49"/>
      <c r="W6" s="14"/>
      <c r="X6" s="98"/>
    </row>
    <row r="7" spans="1:24" ht="16" customHeight="1" x14ac:dyDescent="0.2">
      <c r="A7" s="9" t="s">
        <v>14</v>
      </c>
      <c r="B7" s="10" t="s">
        <v>18</v>
      </c>
      <c r="C7" s="11">
        <v>8</v>
      </c>
      <c r="D7" s="77"/>
      <c r="E7" s="78"/>
      <c r="F7" s="16">
        <v>45</v>
      </c>
      <c r="G7" s="13">
        <v>17</v>
      </c>
      <c r="H7" s="77"/>
      <c r="I7" s="78"/>
      <c r="J7" s="16"/>
      <c r="K7" s="13"/>
      <c r="L7" s="16">
        <v>43</v>
      </c>
      <c r="M7" s="13">
        <v>19</v>
      </c>
      <c r="N7" s="47">
        <f>F7+J7+L7</f>
        <v>88</v>
      </c>
      <c r="O7" s="14">
        <f>COUNTIF(D7:L7,"&gt;30")</f>
        <v>2</v>
      </c>
      <c r="P7" s="48"/>
      <c r="Q7" s="13">
        <v>2</v>
      </c>
      <c r="R7" s="49">
        <f>SUMIF(G7:M7, "&lt;30")+P7+Q7</f>
        <v>38</v>
      </c>
      <c r="S7" s="37">
        <f>R7/O7</f>
        <v>19</v>
      </c>
      <c r="T7" s="97"/>
      <c r="U7" s="49"/>
      <c r="V7" s="49"/>
      <c r="W7" s="14"/>
      <c r="X7" s="98"/>
    </row>
    <row r="8" spans="1:24" ht="16" customHeight="1" x14ac:dyDescent="0.2">
      <c r="A8" s="9" t="s">
        <v>19</v>
      </c>
      <c r="B8" s="10" t="s">
        <v>13</v>
      </c>
      <c r="C8" s="11">
        <v>22</v>
      </c>
      <c r="D8" s="77"/>
      <c r="E8" s="78"/>
      <c r="F8" s="15">
        <v>59</v>
      </c>
      <c r="G8" s="13">
        <v>17</v>
      </c>
      <c r="H8" s="77"/>
      <c r="I8" s="78"/>
      <c r="J8" s="15"/>
      <c r="K8" s="13"/>
      <c r="L8" s="15"/>
      <c r="M8" s="13"/>
      <c r="N8" s="47">
        <f>F8+J8+L8</f>
        <v>59</v>
      </c>
      <c r="O8" s="14">
        <f>COUNTIF(D8:L8,"&gt;30")</f>
        <v>1</v>
      </c>
      <c r="P8" s="48"/>
      <c r="Q8" s="13"/>
      <c r="R8" s="49">
        <f>SUMIF(G8:M8, "&lt;30")+P8+Q8</f>
        <v>17</v>
      </c>
      <c r="S8" s="37">
        <f>R8/O8</f>
        <v>17</v>
      </c>
      <c r="T8" s="99"/>
      <c r="U8" s="49"/>
      <c r="V8" s="49"/>
      <c r="W8" s="14"/>
      <c r="X8" s="98"/>
    </row>
    <row r="9" spans="1:24" ht="16" customHeight="1" x14ac:dyDescent="0.2">
      <c r="A9" s="9" t="s">
        <v>41</v>
      </c>
      <c r="B9" s="10" t="s">
        <v>42</v>
      </c>
      <c r="C9" s="11">
        <v>15</v>
      </c>
      <c r="D9" s="77"/>
      <c r="E9" s="78"/>
      <c r="F9" s="15"/>
      <c r="G9" s="13"/>
      <c r="H9" s="77"/>
      <c r="I9" s="78"/>
      <c r="J9" s="15">
        <v>52</v>
      </c>
      <c r="K9" s="13">
        <v>17</v>
      </c>
      <c r="L9" s="15"/>
      <c r="M9" s="13"/>
      <c r="N9" s="47">
        <f>F9+J9+L9</f>
        <v>52</v>
      </c>
      <c r="O9" s="14">
        <f>COUNTIF(D9:L9,"&gt;30")</f>
        <v>1</v>
      </c>
      <c r="P9" s="48"/>
      <c r="Q9" s="13"/>
      <c r="R9" s="49">
        <f>SUMIF(G9:M9, "&lt;30")+P9+Q9</f>
        <v>17</v>
      </c>
      <c r="S9" s="37">
        <f>R9/O9</f>
        <v>17</v>
      </c>
      <c r="T9" s="97"/>
      <c r="U9" s="49"/>
      <c r="V9" s="49"/>
      <c r="W9" s="14"/>
      <c r="X9" s="98"/>
    </row>
    <row r="10" spans="1:24" ht="16" customHeight="1" x14ac:dyDescent="0.2">
      <c r="A10" s="9" t="s">
        <v>25</v>
      </c>
      <c r="B10" s="10" t="s">
        <v>26</v>
      </c>
      <c r="C10" s="11">
        <v>21</v>
      </c>
      <c r="D10" s="77"/>
      <c r="E10" s="78"/>
      <c r="F10" s="17">
        <v>61</v>
      </c>
      <c r="G10" s="13">
        <v>14</v>
      </c>
      <c r="H10" s="77"/>
      <c r="I10" s="78"/>
      <c r="J10" s="17">
        <v>56</v>
      </c>
      <c r="K10" s="13">
        <v>19</v>
      </c>
      <c r="L10" s="50">
        <v>60</v>
      </c>
      <c r="M10" s="13">
        <v>15</v>
      </c>
      <c r="N10" s="47">
        <f>F10+J10+L10</f>
        <v>177</v>
      </c>
      <c r="O10" s="14">
        <f>COUNTIF(D10:L10,"&gt;30")</f>
        <v>3</v>
      </c>
      <c r="P10" s="48">
        <v>2</v>
      </c>
      <c r="Q10" s="13"/>
      <c r="R10" s="49">
        <f>SUMIF(G10:M10, "&lt;30")+P10+Q10</f>
        <v>50</v>
      </c>
      <c r="S10" s="37">
        <f>R10/O10</f>
        <v>16.666666666666668</v>
      </c>
      <c r="T10" s="100"/>
      <c r="U10" s="49"/>
      <c r="V10" s="49"/>
      <c r="W10" s="14"/>
      <c r="X10" s="98"/>
    </row>
    <row r="11" spans="1:24" ht="16" customHeight="1" x14ac:dyDescent="0.2">
      <c r="A11" s="9" t="s">
        <v>23</v>
      </c>
      <c r="B11" s="10" t="s">
        <v>24</v>
      </c>
      <c r="C11" s="11">
        <v>18</v>
      </c>
      <c r="D11" s="77"/>
      <c r="E11" s="78"/>
      <c r="F11" s="15">
        <v>56</v>
      </c>
      <c r="G11" s="13">
        <v>16</v>
      </c>
      <c r="H11" s="77"/>
      <c r="I11" s="78"/>
      <c r="J11" s="15"/>
      <c r="K11" s="13"/>
      <c r="L11" s="15"/>
      <c r="M11" s="13"/>
      <c r="N11" s="47">
        <f>F11+J11+L11</f>
        <v>56</v>
      </c>
      <c r="O11" s="14">
        <f>COUNTIF(D11:L11,"&gt;30")</f>
        <v>1</v>
      </c>
      <c r="P11" s="48"/>
      <c r="Q11" s="13"/>
      <c r="R11" s="49">
        <f>SUMIF(G11:M11, "&lt;30")+P11+Q11</f>
        <v>16</v>
      </c>
      <c r="S11" s="37">
        <f>R11/O11</f>
        <v>16</v>
      </c>
      <c r="T11" s="101"/>
      <c r="U11" s="49"/>
      <c r="V11" s="49"/>
      <c r="W11" s="14"/>
      <c r="X11" s="98"/>
    </row>
    <row r="12" spans="1:24" ht="16" customHeight="1" x14ac:dyDescent="0.2">
      <c r="A12" s="9" t="s">
        <v>20</v>
      </c>
      <c r="B12" s="10" t="s">
        <v>21</v>
      </c>
      <c r="C12" s="11">
        <v>8</v>
      </c>
      <c r="D12" s="77"/>
      <c r="E12" s="78"/>
      <c r="F12" s="15">
        <v>46</v>
      </c>
      <c r="G12" s="13">
        <v>16</v>
      </c>
      <c r="H12" s="77"/>
      <c r="I12" s="78"/>
      <c r="J12" s="15"/>
      <c r="K12" s="13"/>
      <c r="L12" s="15"/>
      <c r="M12" s="13"/>
      <c r="N12" s="47">
        <f>F12+J12+L12</f>
        <v>46</v>
      </c>
      <c r="O12" s="14">
        <f>COUNTIF(D12:L12,"&gt;30")</f>
        <v>1</v>
      </c>
      <c r="P12" s="48"/>
      <c r="Q12" s="13"/>
      <c r="R12" s="49">
        <f>SUMIF(G12:M12, "&lt;30")+P12+Q12</f>
        <v>16</v>
      </c>
      <c r="S12" s="37">
        <f>R12/O12</f>
        <v>16</v>
      </c>
      <c r="T12" s="101"/>
      <c r="U12" s="49"/>
      <c r="V12" s="49"/>
      <c r="W12" s="14"/>
      <c r="X12" s="98"/>
    </row>
    <row r="13" spans="1:24" ht="16" customHeight="1" x14ac:dyDescent="0.2">
      <c r="A13" s="9" t="s">
        <v>22</v>
      </c>
      <c r="B13" s="10" t="s">
        <v>17</v>
      </c>
      <c r="C13" s="11">
        <v>17</v>
      </c>
      <c r="D13" s="77"/>
      <c r="E13" s="78"/>
      <c r="F13" s="15">
        <v>55</v>
      </c>
      <c r="G13" s="13">
        <v>16</v>
      </c>
      <c r="H13" s="77"/>
      <c r="I13" s="78"/>
      <c r="J13" s="15"/>
      <c r="K13" s="13"/>
      <c r="L13" s="15">
        <v>56</v>
      </c>
      <c r="M13" s="13">
        <v>15</v>
      </c>
      <c r="N13" s="47">
        <f>F13+J13+L13</f>
        <v>111</v>
      </c>
      <c r="O13" s="14">
        <f>COUNTIF(D13:L13,"&gt;30")</f>
        <v>2</v>
      </c>
      <c r="P13" s="48"/>
      <c r="Q13" s="13"/>
      <c r="R13" s="49">
        <f>SUMIF(G13:M13, "&lt;30")+P13+Q13</f>
        <v>31</v>
      </c>
      <c r="S13" s="37">
        <f>R13/O13</f>
        <v>15.5</v>
      </c>
      <c r="T13" s="101"/>
      <c r="U13" s="49"/>
      <c r="V13" s="49"/>
      <c r="W13" s="14"/>
      <c r="X13" s="98"/>
    </row>
    <row r="14" spans="1:24" ht="16" customHeight="1" x14ac:dyDescent="0.2">
      <c r="A14" s="9" t="s">
        <v>51</v>
      </c>
      <c r="B14" s="10" t="s">
        <v>52</v>
      </c>
      <c r="C14" s="11" t="s">
        <v>29</v>
      </c>
      <c r="D14" s="77"/>
      <c r="E14" s="78"/>
      <c r="F14" s="19"/>
      <c r="G14" s="13"/>
      <c r="H14" s="77"/>
      <c r="I14" s="78"/>
      <c r="J14" s="19"/>
      <c r="K14" s="13"/>
      <c r="L14" s="102">
        <v>50</v>
      </c>
      <c r="M14" s="13"/>
      <c r="N14" s="47">
        <f>F14+J14+L14</f>
        <v>50</v>
      </c>
      <c r="O14" s="14">
        <f>COUNTIF(D14:L14,"&gt;30")</f>
        <v>1</v>
      </c>
      <c r="P14" s="48">
        <v>1</v>
      </c>
      <c r="Q14" s="13"/>
      <c r="R14" s="49">
        <f>SUMIF(G14:M14, "&lt;30")+P14+Q14</f>
        <v>1</v>
      </c>
      <c r="S14" s="37"/>
      <c r="T14" s="97"/>
      <c r="U14" s="49"/>
      <c r="V14" s="49"/>
      <c r="W14" s="14"/>
      <c r="X14" s="98"/>
    </row>
    <row r="15" spans="1:24" ht="16" customHeight="1" x14ac:dyDescent="0.2">
      <c r="A15" s="9" t="s">
        <v>30</v>
      </c>
      <c r="B15" s="10" t="s">
        <v>31</v>
      </c>
      <c r="C15" s="11" t="s">
        <v>29</v>
      </c>
      <c r="D15" s="77"/>
      <c r="E15" s="78"/>
      <c r="F15" s="15">
        <v>46</v>
      </c>
      <c r="G15" s="13"/>
      <c r="H15" s="77"/>
      <c r="I15" s="78"/>
      <c r="J15" s="15"/>
      <c r="K15" s="13"/>
      <c r="L15" s="15">
        <v>46</v>
      </c>
      <c r="M15" s="13"/>
      <c r="N15" s="47">
        <f>F15+J15+L15</f>
        <v>92</v>
      </c>
      <c r="O15" s="14">
        <f>COUNTIF(D15:L15,"&gt;30")</f>
        <v>2</v>
      </c>
      <c r="P15" s="51"/>
      <c r="Q15" s="38"/>
      <c r="R15" s="49">
        <f>SUMIF(G15:M15, "&lt;30")+P15+Q15</f>
        <v>0</v>
      </c>
      <c r="S15" s="37"/>
      <c r="T15" s="101"/>
      <c r="U15" s="14"/>
      <c r="V15" s="14"/>
      <c r="W15" s="14"/>
      <c r="X15" s="98"/>
    </row>
    <row r="16" spans="1:24" ht="16" customHeight="1" x14ac:dyDescent="0.2">
      <c r="A16" s="9" t="s">
        <v>32</v>
      </c>
      <c r="B16" s="10" t="s">
        <v>33</v>
      </c>
      <c r="C16" s="11" t="s">
        <v>29</v>
      </c>
      <c r="D16" s="77"/>
      <c r="E16" s="78"/>
      <c r="F16" s="15">
        <v>51</v>
      </c>
      <c r="G16" s="13"/>
      <c r="H16" s="77"/>
      <c r="I16" s="78"/>
      <c r="J16" s="15"/>
      <c r="K16" s="13"/>
      <c r="L16" s="15"/>
      <c r="M16" s="13"/>
      <c r="N16" s="47">
        <f>F16+J16+L16</f>
        <v>51</v>
      </c>
      <c r="O16" s="14">
        <f>COUNTIF(D16:L16,"&gt;30")</f>
        <v>1</v>
      </c>
      <c r="P16" s="48"/>
      <c r="Q16" s="13"/>
      <c r="R16" s="49">
        <f>SUMIF(G16:M16, "&lt;30")+P16+Q16</f>
        <v>0</v>
      </c>
      <c r="S16" s="37"/>
      <c r="T16" s="101"/>
      <c r="U16" s="49"/>
      <c r="V16" s="49"/>
      <c r="W16" s="14"/>
      <c r="X16" s="98"/>
    </row>
    <row r="17" spans="1:24" ht="16" customHeight="1" x14ac:dyDescent="0.2">
      <c r="A17" s="9" t="s">
        <v>27</v>
      </c>
      <c r="B17" s="10" t="s">
        <v>28</v>
      </c>
      <c r="C17" s="11" t="s">
        <v>29</v>
      </c>
      <c r="D17" s="77"/>
      <c r="E17" s="78"/>
      <c r="F17" s="15">
        <v>41</v>
      </c>
      <c r="G17" s="13"/>
      <c r="H17" s="77"/>
      <c r="I17" s="78"/>
      <c r="J17" s="15"/>
      <c r="K17" s="13"/>
      <c r="L17" s="15"/>
      <c r="M17" s="13"/>
      <c r="N17" s="47">
        <f>F17+J17+L17</f>
        <v>41</v>
      </c>
      <c r="O17" s="14">
        <f>COUNTIF(D17:L17,"&gt;30")</f>
        <v>1</v>
      </c>
      <c r="P17" s="48"/>
      <c r="Q17" s="13"/>
      <c r="R17" s="49">
        <f>SUMIF(G17:M17, "&lt;30")+P17+Q17</f>
        <v>0</v>
      </c>
      <c r="S17" s="37"/>
      <c r="T17" s="101"/>
      <c r="U17" s="49"/>
      <c r="V17" s="49"/>
      <c r="W17" s="14"/>
      <c r="X17" s="98"/>
    </row>
    <row r="18" spans="1:24" ht="16" customHeight="1" x14ac:dyDescent="0.2">
      <c r="A18" s="9" t="s">
        <v>34</v>
      </c>
      <c r="B18" s="10" t="s">
        <v>35</v>
      </c>
      <c r="C18" s="11">
        <v>13</v>
      </c>
      <c r="D18" s="77"/>
      <c r="E18" s="78"/>
      <c r="F18" s="18"/>
      <c r="G18" s="13"/>
      <c r="H18" s="77"/>
      <c r="I18" s="78"/>
      <c r="J18" s="18"/>
      <c r="K18" s="13"/>
      <c r="L18" s="18"/>
      <c r="M18" s="13"/>
      <c r="N18" s="47">
        <f>F18+J18+L18</f>
        <v>0</v>
      </c>
      <c r="O18" s="14"/>
      <c r="P18" s="48"/>
      <c r="Q18" s="13"/>
      <c r="R18" s="49">
        <f>SUMIF(G18:M18, "&lt;30")+P18+Q18</f>
        <v>0</v>
      </c>
      <c r="S18" s="37"/>
      <c r="T18" s="97"/>
      <c r="U18" s="49"/>
      <c r="V18" s="49"/>
      <c r="W18" s="14"/>
      <c r="X18" s="98"/>
    </row>
    <row r="19" spans="1:24" ht="16" customHeight="1" x14ac:dyDescent="0.2">
      <c r="A19" s="9" t="s">
        <v>36</v>
      </c>
      <c r="B19" s="10" t="s">
        <v>37</v>
      </c>
      <c r="C19" s="11">
        <v>2</v>
      </c>
      <c r="D19" s="77"/>
      <c r="E19" s="78"/>
      <c r="F19" s="19"/>
      <c r="G19" s="13"/>
      <c r="H19" s="77"/>
      <c r="I19" s="78"/>
      <c r="J19" s="19"/>
      <c r="K19" s="13"/>
      <c r="L19" s="19"/>
      <c r="M19" s="13"/>
      <c r="N19" s="47">
        <f>F19+J19+L19</f>
        <v>0</v>
      </c>
      <c r="O19" s="14"/>
      <c r="P19" s="48"/>
      <c r="Q19" s="13"/>
      <c r="R19" s="49">
        <f>SUMIF(G19:M19, "&lt;30")+P19+Q19</f>
        <v>0</v>
      </c>
      <c r="S19" s="37"/>
      <c r="T19" s="97"/>
      <c r="U19" s="49"/>
      <c r="V19" s="49"/>
      <c r="W19" s="14"/>
      <c r="X19" s="98"/>
    </row>
    <row r="20" spans="1:24" ht="16" customHeight="1" x14ac:dyDescent="0.2">
      <c r="A20" s="9" t="s">
        <v>38</v>
      </c>
      <c r="B20" s="10" t="s">
        <v>39</v>
      </c>
      <c r="C20" s="11">
        <v>15</v>
      </c>
      <c r="D20" s="77"/>
      <c r="E20" s="78"/>
      <c r="F20" s="15"/>
      <c r="G20" s="13"/>
      <c r="H20" s="77"/>
      <c r="I20" s="78"/>
      <c r="J20" s="15"/>
      <c r="K20" s="13"/>
      <c r="L20" s="15"/>
      <c r="M20" s="13"/>
      <c r="N20" s="47">
        <f>F20+J20+L20</f>
        <v>0</v>
      </c>
      <c r="O20" s="14"/>
      <c r="P20" s="48"/>
      <c r="Q20" s="13"/>
      <c r="R20" s="49">
        <f>SUMIF(G20:M20, "&lt;30")+P20+Q20</f>
        <v>0</v>
      </c>
      <c r="S20" s="37"/>
      <c r="T20" s="101"/>
      <c r="U20" s="49"/>
      <c r="V20" s="49"/>
      <c r="W20" s="14"/>
      <c r="X20" s="98"/>
    </row>
    <row r="21" spans="1:24" ht="16" customHeight="1" thickBot="1" x14ac:dyDescent="0.25">
      <c r="A21" s="20" t="s">
        <v>32</v>
      </c>
      <c r="B21" s="21" t="s">
        <v>40</v>
      </c>
      <c r="C21" s="22">
        <v>11</v>
      </c>
      <c r="D21" s="79"/>
      <c r="E21" s="80"/>
      <c r="F21" s="23"/>
      <c r="G21" s="24"/>
      <c r="H21" s="79"/>
      <c r="I21" s="80"/>
      <c r="J21" s="23"/>
      <c r="K21" s="24"/>
      <c r="L21" s="23"/>
      <c r="M21" s="24"/>
      <c r="N21" s="52"/>
      <c r="O21" s="25"/>
      <c r="P21" s="53"/>
      <c r="Q21" s="24"/>
      <c r="R21" s="54">
        <f>SUMIF(G21:M21, "&lt;30")+P21+Q21</f>
        <v>0</v>
      </c>
      <c r="S21" s="39"/>
      <c r="T21" s="103"/>
      <c r="U21" s="54"/>
      <c r="V21" s="54"/>
      <c r="W21" s="25"/>
      <c r="X21" s="104"/>
    </row>
    <row r="22" spans="1:24" s="26" customFormat="1" ht="17" thickBot="1" x14ac:dyDescent="0.25">
      <c r="A22" s="40"/>
      <c r="B22" s="41"/>
      <c r="C22" s="41"/>
      <c r="D22" s="42"/>
      <c r="E22" s="42"/>
      <c r="F22" s="42">
        <f>AVERAGEIF(F4:F21,"&gt;0")</f>
        <v>49.75</v>
      </c>
      <c r="G22" s="42"/>
      <c r="H22" s="42"/>
      <c r="I22" s="42"/>
      <c r="J22" s="42">
        <f>AVERAGEIF(J4:J21,"&gt;0")</f>
        <v>54</v>
      </c>
      <c r="K22" s="42"/>
      <c r="L22" s="42">
        <f>AVERAGEIF(L4:L21,"&gt;0")</f>
        <v>51.428571428571431</v>
      </c>
      <c r="M22" s="42"/>
      <c r="N22" s="43"/>
    </row>
    <row r="23" spans="1:24" x14ac:dyDescent="0.2">
      <c r="C23" s="27"/>
      <c r="N23" s="28"/>
      <c r="O23" s="28"/>
      <c r="P23" s="29"/>
      <c r="Q23" s="29"/>
      <c r="R23" s="28"/>
      <c r="S23" s="30"/>
    </row>
    <row r="24" spans="1:24" x14ac:dyDescent="0.2">
      <c r="C24" s="55" t="s">
        <v>43</v>
      </c>
      <c r="D24" s="31" t="s">
        <v>53</v>
      </c>
      <c r="F24" s="31"/>
      <c r="H24" s="31"/>
      <c r="J24" s="31"/>
      <c r="L24" s="31"/>
    </row>
    <row r="25" spans="1:24" x14ac:dyDescent="0.2">
      <c r="C25" s="56" t="s">
        <v>44</v>
      </c>
      <c r="D25" s="32" t="s">
        <v>54</v>
      </c>
      <c r="F25" s="32"/>
      <c r="H25" s="32"/>
      <c r="J25" s="32"/>
      <c r="L25" s="32"/>
      <c r="N25" s="33"/>
    </row>
    <row r="26" spans="1:24" x14ac:dyDescent="0.2">
      <c r="C26" s="57" t="s">
        <v>49</v>
      </c>
      <c r="D26" s="34" t="s">
        <v>55</v>
      </c>
      <c r="E26" s="35"/>
      <c r="F26" s="34"/>
      <c r="G26" s="35"/>
      <c r="H26" s="34"/>
      <c r="I26" s="35"/>
      <c r="J26" s="34"/>
      <c r="K26" s="35"/>
      <c r="L26" s="34"/>
      <c r="M26" s="35"/>
    </row>
  </sheetData>
  <sortState xmlns:xlrd2="http://schemas.microsoft.com/office/spreadsheetml/2017/richdata2" ref="A4:S21">
    <sortCondition descending="1" ref="S4:S21"/>
    <sortCondition descending="1" ref="N4:N21"/>
    <sortCondition ref="B4:B21"/>
  </sortState>
  <mergeCells count="27">
    <mergeCell ref="J1:K1"/>
    <mergeCell ref="T1:X1"/>
    <mergeCell ref="T2:T3"/>
    <mergeCell ref="U2:U3"/>
    <mergeCell ref="V2:V3"/>
    <mergeCell ref="W2:W3"/>
    <mergeCell ref="X2:X3"/>
    <mergeCell ref="H4:I21"/>
    <mergeCell ref="A1:B3"/>
    <mergeCell ref="C1:C3"/>
    <mergeCell ref="D1:E1"/>
    <mergeCell ref="D2:E2"/>
    <mergeCell ref="F1:G1"/>
    <mergeCell ref="F2:G2"/>
    <mergeCell ref="H1:I1"/>
    <mergeCell ref="D4:E21"/>
    <mergeCell ref="L1:M1"/>
    <mergeCell ref="N1:N3"/>
    <mergeCell ref="O1:S1"/>
    <mergeCell ref="L2:M2"/>
    <mergeCell ref="R2:R3"/>
    <mergeCell ref="S2:S3"/>
    <mergeCell ref="H2:I2"/>
    <mergeCell ref="J2:K2"/>
    <mergeCell ref="O2:O3"/>
    <mergeCell ref="P2:P3"/>
    <mergeCell ref="Q2:Q3"/>
  </mergeCells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2025-06-05T03:25:37Z</cp:lastPrinted>
  <dcterms:created xsi:type="dcterms:W3CDTF">2025-05-15T01:18:57Z</dcterms:created>
  <dcterms:modified xsi:type="dcterms:W3CDTF">2025-06-05T04:02:55Z</dcterms:modified>
</cp:coreProperties>
</file>