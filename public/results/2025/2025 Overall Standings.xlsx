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12" documentId="13_ncr:1_{F94A3502-0EBB-1C4C-B4A9-72D954014F95}" xr6:coauthVersionLast="47" xr6:coauthVersionMax="47" xr10:uidLastSave="{5A7BFC1A-C7C6-4DB9-B4B8-215DAD07F51B}"/>
  <bookViews>
    <workbookView xWindow="43125" yWindow="3150" windowWidth="30765" windowHeight="1711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C14" i="1"/>
  <c r="AH5" i="1"/>
  <c r="AH4" i="1"/>
  <c r="AH7" i="1"/>
  <c r="AH8" i="1"/>
  <c r="AH9" i="1"/>
  <c r="AH15" i="1"/>
  <c r="AH11" i="1"/>
  <c r="AH13" i="1"/>
  <c r="AH12" i="1"/>
  <c r="AH10" i="1"/>
  <c r="AH14" i="1"/>
  <c r="AH18" i="1"/>
  <c r="AH16" i="1"/>
  <c r="AH17" i="1"/>
  <c r="AH19" i="1"/>
  <c r="AH20" i="1"/>
  <c r="AH21" i="1"/>
  <c r="AH22" i="1"/>
  <c r="AE5" i="1"/>
  <c r="AE4" i="1"/>
  <c r="AE7" i="1"/>
  <c r="AE8" i="1"/>
  <c r="AE9" i="1"/>
  <c r="AE15" i="1"/>
  <c r="AE11" i="1"/>
  <c r="AE13" i="1"/>
  <c r="AE12" i="1"/>
  <c r="AE10" i="1"/>
  <c r="AE14" i="1"/>
  <c r="AE18" i="1"/>
  <c r="AE16" i="1"/>
  <c r="AE17" i="1"/>
  <c r="AE19" i="1"/>
  <c r="AE20" i="1"/>
  <c r="AE21" i="1"/>
  <c r="AE22" i="1"/>
  <c r="AD5" i="1"/>
  <c r="C5" i="1" s="1"/>
  <c r="AD4" i="1"/>
  <c r="C4" i="1" s="1"/>
  <c r="AD7" i="1"/>
  <c r="AD8" i="1"/>
  <c r="AD9" i="1"/>
  <c r="AD15" i="1"/>
  <c r="AD11" i="1"/>
  <c r="AD13" i="1"/>
  <c r="AD12" i="1"/>
  <c r="AD10" i="1"/>
  <c r="AD14" i="1"/>
  <c r="AD18" i="1"/>
  <c r="AD16" i="1"/>
  <c r="AD17" i="1"/>
  <c r="AD19" i="1"/>
  <c r="AD20" i="1"/>
  <c r="AD21" i="1"/>
  <c r="AD22" i="1"/>
  <c r="AH6" i="1"/>
  <c r="AE6" i="1"/>
  <c r="AD6" i="1"/>
  <c r="AB23" i="1"/>
  <c r="Z23" i="1"/>
  <c r="X23" i="1"/>
  <c r="V23" i="1"/>
  <c r="C6" i="1" l="1"/>
  <c r="C12" i="1"/>
  <c r="C13" i="1"/>
  <c r="C8" i="1"/>
  <c r="C10" i="1"/>
  <c r="C7" i="1"/>
  <c r="C9" i="1"/>
  <c r="C15" i="1"/>
  <c r="C20" i="1"/>
  <c r="C19" i="1"/>
  <c r="T23" i="1"/>
  <c r="R23" i="1"/>
  <c r="C16" i="1" l="1"/>
  <c r="C17" i="1"/>
  <c r="C11" i="1"/>
  <c r="AI4" i="1"/>
  <c r="AI8" i="1"/>
  <c r="AI19" i="1"/>
  <c r="AI20" i="1"/>
  <c r="AI14" i="1"/>
  <c r="AI21" i="1"/>
  <c r="AI16" i="1"/>
  <c r="AI13" i="1"/>
  <c r="AI11" i="1"/>
  <c r="AI6" i="1"/>
  <c r="AI17" i="1"/>
  <c r="P23" i="1"/>
  <c r="AI22" i="1" l="1"/>
  <c r="AI10" i="1"/>
  <c r="AI15" i="1"/>
  <c r="AI7" i="1"/>
  <c r="AI18" i="1"/>
  <c r="AI9" i="1"/>
  <c r="AI12" i="1"/>
  <c r="N23" i="1" l="1"/>
  <c r="L23" i="1"/>
  <c r="J23" i="1"/>
  <c r="F23" i="1"/>
  <c r="AI5" i="1" l="1"/>
</calcChain>
</file>

<file path=xl/sharedStrings.xml><?xml version="1.0" encoding="utf-8"?>
<sst xmlns="http://schemas.openxmlformats.org/spreadsheetml/2006/main" count="100" uniqueCount="67">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</sst>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1" fontId="6" fillId="0" borderId="27" xfId="0" applyNumberFormat="1" applyFont="1" applyBorder="1" applyAlignment="1">
      <alignment horizont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27" xfId="0" applyNumberFormat="1" applyFont="1" applyBorder="1" applyAlignment="1">
      <alignment horizontal="center"/>
    </xf>
    <xf numFmtId="1" fontId="17" fillId="0" borderId="27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9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/>
    </xf>
    <xf numFmtId="0" fontId="17" fillId="0" borderId="30" xfId="0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1" fontId="18" fillId="0" borderId="27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2" borderId="43" xfId="0" applyNumberForma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44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N27"/>
  <sheetViews>
    <sheetView tabSelected="1" workbookViewId="0">
      <selection activeCell="Y18" sqref="Y18"/>
    </sheetView>
  </sheetViews>
  <sheetFormatPr defaultColWidth="8" defaultRowHeight="15.75"/>
  <cols>
    <col min="1" max="1" width="8.625" customWidth="1"/>
    <col min="2" max="2" width="8.125" customWidth="1"/>
    <col min="3" max="3" width="10.125" customWidth="1"/>
    <col min="4" max="10" width="6.875" hidden="1" customWidth="1"/>
    <col min="11" max="11" width="6" hidden="1" customWidth="1"/>
    <col min="12" max="23" width="6.375" hidden="1" customWidth="1"/>
    <col min="24" max="24" width="6" customWidth="1"/>
    <col min="25" max="25" width="6.375" customWidth="1"/>
    <col min="26" max="26" width="6" customWidth="1"/>
    <col min="27" max="27" width="6.375" customWidth="1"/>
    <col min="28" max="28" width="6" customWidth="1"/>
    <col min="29" max="29" width="6.375" customWidth="1"/>
    <col min="30" max="30" width="8.875" customWidth="1"/>
    <col min="31" max="31" width="6.125" customWidth="1"/>
    <col min="32" max="32" width="5.875" customWidth="1"/>
    <col min="33" max="33" width="5.625" customWidth="1"/>
    <col min="34" max="34" width="5.5" customWidth="1"/>
    <col min="35" max="35" width="8" customWidth="1"/>
    <col min="36" max="36" width="7.375" hidden="1" customWidth="1"/>
    <col min="37" max="38" width="6" hidden="1" customWidth="1"/>
    <col min="39" max="39" width="7.375" hidden="1" customWidth="1"/>
    <col min="40" max="40" width="9.375" hidden="1" customWidth="1"/>
  </cols>
  <sheetData>
    <row r="1" spans="1:40" s="53" customFormat="1" ht="16.5" customHeight="1" thickBot="1">
      <c r="A1" s="88" t="s">
        <v>0</v>
      </c>
      <c r="B1" s="89"/>
      <c r="C1" s="94" t="s">
        <v>53</v>
      </c>
      <c r="D1" s="86" t="s">
        <v>1</v>
      </c>
      <c r="E1" s="87"/>
      <c r="F1" s="86" t="s">
        <v>43</v>
      </c>
      <c r="G1" s="87"/>
      <c r="H1" s="86" t="s">
        <v>44</v>
      </c>
      <c r="I1" s="87"/>
      <c r="J1" s="86" t="s">
        <v>45</v>
      </c>
      <c r="K1" s="87"/>
      <c r="L1" s="86" t="s">
        <v>47</v>
      </c>
      <c r="M1" s="87"/>
      <c r="N1" s="86" t="s">
        <v>54</v>
      </c>
      <c r="O1" s="87"/>
      <c r="P1" s="86" t="s">
        <v>59</v>
      </c>
      <c r="Q1" s="87"/>
      <c r="R1" s="86" t="s">
        <v>60</v>
      </c>
      <c r="S1" s="87"/>
      <c r="T1" s="86" t="s">
        <v>61</v>
      </c>
      <c r="U1" s="87"/>
      <c r="V1" s="86" t="s">
        <v>62</v>
      </c>
      <c r="W1" s="87"/>
      <c r="X1" s="86" t="s">
        <v>63</v>
      </c>
      <c r="Y1" s="87"/>
      <c r="Z1" s="86" t="s">
        <v>64</v>
      </c>
      <c r="AA1" s="87"/>
      <c r="AB1" s="86" t="s">
        <v>66</v>
      </c>
      <c r="AC1" s="87"/>
      <c r="AD1" s="101" t="s">
        <v>2</v>
      </c>
      <c r="AE1" s="103" t="s">
        <v>65</v>
      </c>
      <c r="AF1" s="104"/>
      <c r="AG1" s="104"/>
      <c r="AH1" s="104"/>
      <c r="AI1" s="105"/>
      <c r="AJ1" s="106" t="s">
        <v>57</v>
      </c>
      <c r="AK1" s="107"/>
      <c r="AL1" s="107"/>
      <c r="AM1" s="107"/>
      <c r="AN1" s="108"/>
    </row>
    <row r="2" spans="1:40" s="53" customFormat="1" ht="15.75" customHeight="1">
      <c r="A2" s="90"/>
      <c r="B2" s="91"/>
      <c r="C2" s="95"/>
      <c r="D2" s="84">
        <v>45782</v>
      </c>
      <c r="E2" s="85"/>
      <c r="F2" s="84">
        <v>45789</v>
      </c>
      <c r="G2" s="85"/>
      <c r="H2" s="84">
        <v>45796</v>
      </c>
      <c r="I2" s="85"/>
      <c r="J2" s="84">
        <v>45803</v>
      </c>
      <c r="K2" s="85"/>
      <c r="L2" s="84">
        <v>45810</v>
      </c>
      <c r="M2" s="85"/>
      <c r="N2" s="84">
        <v>45817</v>
      </c>
      <c r="O2" s="85"/>
      <c r="P2" s="84">
        <v>45824</v>
      </c>
      <c r="Q2" s="85"/>
      <c r="R2" s="84">
        <v>45831</v>
      </c>
      <c r="S2" s="85"/>
      <c r="T2" s="84">
        <v>45838</v>
      </c>
      <c r="U2" s="85"/>
      <c r="V2" s="84">
        <v>45845</v>
      </c>
      <c r="W2" s="85"/>
      <c r="X2" s="84">
        <v>45852</v>
      </c>
      <c r="Y2" s="85"/>
      <c r="Z2" s="84">
        <v>45859</v>
      </c>
      <c r="AA2" s="85"/>
      <c r="AB2" s="84">
        <v>45866</v>
      </c>
      <c r="AC2" s="85"/>
      <c r="AD2" s="102"/>
      <c r="AE2" s="101" t="s">
        <v>3</v>
      </c>
      <c r="AF2" s="97" t="s">
        <v>4</v>
      </c>
      <c r="AG2" s="99" t="s">
        <v>5</v>
      </c>
      <c r="AH2" s="111" t="s">
        <v>6</v>
      </c>
      <c r="AI2" s="113" t="s">
        <v>7</v>
      </c>
      <c r="AJ2" s="109" t="s">
        <v>3</v>
      </c>
      <c r="AK2" s="109" t="s">
        <v>4</v>
      </c>
      <c r="AL2" s="109" t="s">
        <v>5</v>
      </c>
      <c r="AM2" s="109" t="s">
        <v>6</v>
      </c>
      <c r="AN2" s="109" t="s">
        <v>7</v>
      </c>
    </row>
    <row r="3" spans="1:40" s="53" customFormat="1" ht="29.1" customHeight="1" thickBot="1">
      <c r="A3" s="92"/>
      <c r="B3" s="93"/>
      <c r="C3" s="96"/>
      <c r="D3" s="1" t="s">
        <v>8</v>
      </c>
      <c r="E3" s="2" t="s">
        <v>9</v>
      </c>
      <c r="F3" s="1" t="s">
        <v>8</v>
      </c>
      <c r="G3" s="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" t="s">
        <v>8</v>
      </c>
      <c r="AC3" s="2" t="s">
        <v>9</v>
      </c>
      <c r="AD3" s="102"/>
      <c r="AE3" s="102"/>
      <c r="AF3" s="98"/>
      <c r="AG3" s="100"/>
      <c r="AH3" s="112"/>
      <c r="AI3" s="114"/>
      <c r="AJ3" s="110"/>
      <c r="AK3" s="110"/>
      <c r="AL3" s="110"/>
      <c r="AM3" s="110"/>
      <c r="AN3" s="110"/>
    </row>
    <row r="4" spans="1:40" ht="15.95" customHeight="1">
      <c r="A4" s="3" t="s">
        <v>34</v>
      </c>
      <c r="B4" s="4" t="s">
        <v>35</v>
      </c>
      <c r="C4" s="83">
        <f t="shared" ref="C4:C14" si="0">ROUND((AD4-(36*AE4))/AE4,0)</f>
        <v>1</v>
      </c>
      <c r="D4" s="46"/>
      <c r="E4" s="47"/>
      <c r="F4" s="79"/>
      <c r="G4" s="5"/>
      <c r="H4" s="46"/>
      <c r="I4" s="47"/>
      <c r="J4" s="79"/>
      <c r="K4" s="5"/>
      <c r="L4" s="79"/>
      <c r="M4" s="5"/>
      <c r="N4" s="79"/>
      <c r="O4" s="5"/>
      <c r="P4" s="80">
        <v>39</v>
      </c>
      <c r="Q4" s="5">
        <v>17</v>
      </c>
      <c r="R4" s="80">
        <v>38</v>
      </c>
      <c r="S4" s="5">
        <v>18</v>
      </c>
      <c r="T4" s="80"/>
      <c r="U4" s="5"/>
      <c r="V4" s="81">
        <v>37</v>
      </c>
      <c r="W4" s="5">
        <v>19</v>
      </c>
      <c r="X4" s="81">
        <v>36</v>
      </c>
      <c r="Y4" s="5">
        <v>20</v>
      </c>
      <c r="Z4" s="81">
        <v>38</v>
      </c>
      <c r="AA4" s="74">
        <v>18</v>
      </c>
      <c r="AB4" s="80">
        <v>35</v>
      </c>
      <c r="AC4" s="74">
        <v>21</v>
      </c>
      <c r="AD4" s="61">
        <f t="shared" ref="AD4:AD22" si="1">F4+J4+L4+N4+P4+R4+T4+V4+X4+Z4+AB4</f>
        <v>223</v>
      </c>
      <c r="AE4" s="6">
        <f t="shared" ref="AE4:AE22" si="2">COUNTIF(D4:AB4,"&gt;30")</f>
        <v>6</v>
      </c>
      <c r="AF4" s="35">
        <v>3</v>
      </c>
      <c r="AG4" s="5">
        <v>8</v>
      </c>
      <c r="AH4" s="36">
        <f t="shared" ref="AH4:AH22" si="3">SUMIF(G4:AC4, "&lt;30")+AF4+AG4</f>
        <v>124</v>
      </c>
      <c r="AI4" s="65">
        <f t="shared" ref="AI4:AI22" si="4">AH4/AE4</f>
        <v>20.666666666666668</v>
      </c>
      <c r="AJ4" s="77"/>
      <c r="AK4" s="36"/>
      <c r="AL4" s="36"/>
      <c r="AM4" s="6"/>
      <c r="AN4" s="54"/>
    </row>
    <row r="5" spans="1:40">
      <c r="A5" s="7" t="s">
        <v>14</v>
      </c>
      <c r="B5" s="8" t="s">
        <v>15</v>
      </c>
      <c r="C5" s="9">
        <f t="shared" si="0"/>
        <v>17</v>
      </c>
      <c r="D5" s="48"/>
      <c r="E5" s="49"/>
      <c r="F5" s="12">
        <v>53</v>
      </c>
      <c r="G5" s="10">
        <v>23</v>
      </c>
      <c r="H5" s="48"/>
      <c r="I5" s="49"/>
      <c r="J5" s="12"/>
      <c r="K5" s="10"/>
      <c r="L5" s="12"/>
      <c r="M5" s="10"/>
      <c r="N5" s="12">
        <v>57</v>
      </c>
      <c r="O5" s="10">
        <v>19</v>
      </c>
      <c r="P5" s="12"/>
      <c r="Q5" s="10"/>
      <c r="R5" s="12">
        <v>50</v>
      </c>
      <c r="S5" s="10">
        <v>26</v>
      </c>
      <c r="T5" s="12">
        <v>56</v>
      </c>
      <c r="U5" s="10">
        <v>15</v>
      </c>
      <c r="V5" s="12"/>
      <c r="W5" s="10"/>
      <c r="X5" s="12"/>
      <c r="Y5" s="10"/>
      <c r="Z5" s="69">
        <v>54</v>
      </c>
      <c r="AA5" s="75">
        <v>18</v>
      </c>
      <c r="AB5" s="69">
        <v>50</v>
      </c>
      <c r="AC5" s="75">
        <v>22</v>
      </c>
      <c r="AD5" s="62">
        <f t="shared" si="1"/>
        <v>320</v>
      </c>
      <c r="AE5" s="11">
        <f t="shared" si="2"/>
        <v>6</v>
      </c>
      <c r="AF5" s="37"/>
      <c r="AG5" s="10"/>
      <c r="AH5" s="38">
        <f t="shared" si="3"/>
        <v>123</v>
      </c>
      <c r="AI5" s="66">
        <f t="shared" si="4"/>
        <v>20.5</v>
      </c>
      <c r="AJ5" s="55"/>
      <c r="AK5" s="38"/>
      <c r="AL5" s="38"/>
      <c r="AM5" s="11"/>
      <c r="AN5" s="56" t="s">
        <v>58</v>
      </c>
    </row>
    <row r="6" spans="1:40">
      <c r="A6" s="7" t="s">
        <v>36</v>
      </c>
      <c r="B6" s="8" t="s">
        <v>37</v>
      </c>
      <c r="C6" s="9">
        <f t="shared" si="0"/>
        <v>11</v>
      </c>
      <c r="D6" s="48"/>
      <c r="E6" s="49"/>
      <c r="F6" s="12"/>
      <c r="G6" s="10"/>
      <c r="H6" s="48"/>
      <c r="I6" s="49"/>
      <c r="J6" s="12"/>
      <c r="K6" s="10"/>
      <c r="L6" s="12"/>
      <c r="M6" s="10"/>
      <c r="N6" s="12"/>
      <c r="O6" s="10"/>
      <c r="P6" s="12">
        <v>43</v>
      </c>
      <c r="Q6" s="10">
        <v>26</v>
      </c>
      <c r="R6" s="68">
        <v>45</v>
      </c>
      <c r="S6" s="10">
        <v>24</v>
      </c>
      <c r="T6" s="69"/>
      <c r="U6" s="10"/>
      <c r="V6" s="69">
        <v>50</v>
      </c>
      <c r="W6" s="10">
        <v>19</v>
      </c>
      <c r="X6" s="69">
        <v>44</v>
      </c>
      <c r="Y6" s="10">
        <v>20</v>
      </c>
      <c r="Z6" s="69"/>
      <c r="AA6" s="75"/>
      <c r="AB6" s="69">
        <v>54</v>
      </c>
      <c r="AC6" s="75">
        <v>11</v>
      </c>
      <c r="AD6" s="62">
        <f t="shared" si="1"/>
        <v>236</v>
      </c>
      <c r="AE6" s="11">
        <f t="shared" si="2"/>
        <v>5</v>
      </c>
      <c r="AF6" s="37">
        <v>1</v>
      </c>
      <c r="AG6" s="10">
        <v>1</v>
      </c>
      <c r="AH6" s="38">
        <f t="shared" si="3"/>
        <v>102</v>
      </c>
      <c r="AI6" s="66">
        <f t="shared" si="4"/>
        <v>20.399999999999999</v>
      </c>
      <c r="AJ6" s="58"/>
      <c r="AK6" s="38"/>
      <c r="AL6" s="38"/>
      <c r="AM6" s="11"/>
      <c r="AN6" s="56"/>
    </row>
    <row r="7" spans="1:40">
      <c r="A7" s="7" t="s">
        <v>39</v>
      </c>
      <c r="B7" s="8" t="s">
        <v>40</v>
      </c>
      <c r="C7" s="9">
        <f t="shared" si="0"/>
        <v>12</v>
      </c>
      <c r="D7" s="48"/>
      <c r="E7" s="49"/>
      <c r="F7" s="71"/>
      <c r="G7" s="10"/>
      <c r="H7" s="48"/>
      <c r="I7" s="49"/>
      <c r="J7" s="71">
        <v>52</v>
      </c>
      <c r="K7" s="10">
        <v>17</v>
      </c>
      <c r="L7" s="71"/>
      <c r="M7" s="10"/>
      <c r="N7" s="71">
        <v>46</v>
      </c>
      <c r="O7" s="10">
        <v>23</v>
      </c>
      <c r="P7" s="71">
        <v>46</v>
      </c>
      <c r="Q7" s="10">
        <v>23</v>
      </c>
      <c r="R7" s="71">
        <v>54</v>
      </c>
      <c r="S7" s="10">
        <v>16</v>
      </c>
      <c r="T7" s="71">
        <v>45</v>
      </c>
      <c r="U7" s="10">
        <v>23</v>
      </c>
      <c r="V7" s="71">
        <v>48</v>
      </c>
      <c r="W7" s="10">
        <v>19</v>
      </c>
      <c r="X7" s="71">
        <v>49</v>
      </c>
      <c r="Y7" s="10">
        <v>18</v>
      </c>
      <c r="Z7" s="76"/>
      <c r="AA7" s="75"/>
      <c r="AB7" s="76">
        <v>46</v>
      </c>
      <c r="AC7" s="75">
        <v>21</v>
      </c>
      <c r="AD7" s="62">
        <f t="shared" si="1"/>
        <v>386</v>
      </c>
      <c r="AE7" s="11">
        <f t="shared" si="2"/>
        <v>8</v>
      </c>
      <c r="AF7" s="37"/>
      <c r="AG7" s="10">
        <v>1</v>
      </c>
      <c r="AH7" s="38">
        <f t="shared" si="3"/>
        <v>161</v>
      </c>
      <c r="AI7" s="66">
        <f t="shared" si="4"/>
        <v>20.125</v>
      </c>
      <c r="AJ7" s="55"/>
      <c r="AK7" s="38"/>
      <c r="AL7" s="38"/>
      <c r="AM7" s="11"/>
      <c r="AN7" s="56"/>
    </row>
    <row r="8" spans="1:40">
      <c r="A8" s="7" t="s">
        <v>10</v>
      </c>
      <c r="B8" s="8" t="s">
        <v>11</v>
      </c>
      <c r="C8" s="9">
        <f t="shared" si="0"/>
        <v>14</v>
      </c>
      <c r="D8" s="48"/>
      <c r="E8" s="49"/>
      <c r="F8" s="12">
        <v>42</v>
      </c>
      <c r="G8" s="10">
        <v>27</v>
      </c>
      <c r="H8" s="48"/>
      <c r="I8" s="49"/>
      <c r="J8" s="12"/>
      <c r="K8" s="10"/>
      <c r="L8" s="12">
        <v>54</v>
      </c>
      <c r="M8" s="10">
        <v>15</v>
      </c>
      <c r="N8" s="12"/>
      <c r="O8" s="10"/>
      <c r="P8" s="12">
        <v>54</v>
      </c>
      <c r="Q8" s="10">
        <v>16</v>
      </c>
      <c r="R8" s="12">
        <v>53</v>
      </c>
      <c r="S8" s="10">
        <v>16</v>
      </c>
      <c r="T8" s="12"/>
      <c r="U8" s="10"/>
      <c r="V8" s="68">
        <v>46</v>
      </c>
      <c r="W8" s="10">
        <v>23</v>
      </c>
      <c r="X8" s="69">
        <v>49</v>
      </c>
      <c r="Y8" s="10">
        <v>19</v>
      </c>
      <c r="Z8" s="69">
        <v>50</v>
      </c>
      <c r="AA8" s="75">
        <v>18</v>
      </c>
      <c r="AB8" s="69"/>
      <c r="AC8" s="75"/>
      <c r="AD8" s="62">
        <f t="shared" si="1"/>
        <v>348</v>
      </c>
      <c r="AE8" s="11">
        <f t="shared" si="2"/>
        <v>7</v>
      </c>
      <c r="AF8" s="37">
        <v>1</v>
      </c>
      <c r="AG8" s="10">
        <v>1</v>
      </c>
      <c r="AH8" s="38">
        <f t="shared" si="3"/>
        <v>136</v>
      </c>
      <c r="AI8" s="66">
        <f t="shared" si="4"/>
        <v>19.428571428571427</v>
      </c>
      <c r="AJ8" s="57"/>
      <c r="AK8" s="38"/>
      <c r="AL8" s="38"/>
      <c r="AM8" s="11"/>
      <c r="AN8" s="56"/>
    </row>
    <row r="9" spans="1:40">
      <c r="A9" s="7" t="s">
        <v>12</v>
      </c>
      <c r="B9" s="8" t="s">
        <v>16</v>
      </c>
      <c r="C9" s="9">
        <f t="shared" si="0"/>
        <v>7</v>
      </c>
      <c r="D9" s="48"/>
      <c r="E9" s="49"/>
      <c r="F9" s="64">
        <v>45</v>
      </c>
      <c r="G9" s="10">
        <v>17</v>
      </c>
      <c r="H9" s="48"/>
      <c r="I9" s="49"/>
      <c r="J9" s="64"/>
      <c r="K9" s="10"/>
      <c r="L9" s="64">
        <v>43</v>
      </c>
      <c r="M9" s="10">
        <v>19</v>
      </c>
      <c r="N9" s="13">
        <v>41</v>
      </c>
      <c r="O9" s="10">
        <v>21</v>
      </c>
      <c r="P9" s="39">
        <v>47</v>
      </c>
      <c r="Q9" s="10">
        <v>15</v>
      </c>
      <c r="R9" s="39">
        <v>42</v>
      </c>
      <c r="S9" s="10">
        <v>20</v>
      </c>
      <c r="T9" s="39">
        <v>43</v>
      </c>
      <c r="U9" s="10">
        <v>19</v>
      </c>
      <c r="V9" s="39">
        <v>44</v>
      </c>
      <c r="W9" s="10">
        <v>18</v>
      </c>
      <c r="X9" s="39">
        <v>48</v>
      </c>
      <c r="Y9" s="10">
        <v>16</v>
      </c>
      <c r="Z9" s="39">
        <v>40</v>
      </c>
      <c r="AA9" s="75">
        <v>22</v>
      </c>
      <c r="AB9" s="39">
        <v>40</v>
      </c>
      <c r="AC9" s="75">
        <v>22</v>
      </c>
      <c r="AD9" s="62">
        <f t="shared" si="1"/>
        <v>433</v>
      </c>
      <c r="AE9" s="11">
        <f t="shared" si="2"/>
        <v>10</v>
      </c>
      <c r="AF9" s="37">
        <v>1</v>
      </c>
      <c r="AG9" s="10">
        <v>4</v>
      </c>
      <c r="AH9" s="38">
        <f t="shared" si="3"/>
        <v>194</v>
      </c>
      <c r="AI9" s="66">
        <f t="shared" si="4"/>
        <v>19.399999999999999</v>
      </c>
      <c r="AJ9" s="55"/>
      <c r="AK9" s="38"/>
      <c r="AL9" s="38"/>
      <c r="AM9" s="11"/>
      <c r="AN9" s="56"/>
    </row>
    <row r="10" spans="1:40">
      <c r="A10" s="7" t="s">
        <v>12</v>
      </c>
      <c r="B10" s="8" t="s">
        <v>13</v>
      </c>
      <c r="C10" s="9">
        <f t="shared" si="0"/>
        <v>12</v>
      </c>
      <c r="D10" s="48"/>
      <c r="E10" s="49"/>
      <c r="F10" s="70">
        <v>42</v>
      </c>
      <c r="G10" s="10">
        <v>25</v>
      </c>
      <c r="H10" s="48"/>
      <c r="I10" s="49"/>
      <c r="J10" s="70"/>
      <c r="K10" s="10"/>
      <c r="L10" s="39">
        <v>51</v>
      </c>
      <c r="M10" s="10">
        <v>16</v>
      </c>
      <c r="N10" s="39"/>
      <c r="O10" s="10"/>
      <c r="P10" s="13">
        <v>49</v>
      </c>
      <c r="Q10" s="10">
        <v>18</v>
      </c>
      <c r="R10" s="39">
        <v>46</v>
      </c>
      <c r="S10" s="10">
        <v>21</v>
      </c>
      <c r="T10" s="39">
        <v>45</v>
      </c>
      <c r="U10" s="10">
        <v>20</v>
      </c>
      <c r="V10" s="39">
        <v>46</v>
      </c>
      <c r="W10" s="10">
        <v>19</v>
      </c>
      <c r="X10" s="39">
        <v>53</v>
      </c>
      <c r="Y10" s="10">
        <v>13</v>
      </c>
      <c r="Z10" s="39">
        <v>52</v>
      </c>
      <c r="AA10" s="75">
        <v>13</v>
      </c>
      <c r="AB10" s="39">
        <v>44</v>
      </c>
      <c r="AC10" s="75">
        <v>22</v>
      </c>
      <c r="AD10" s="62">
        <f t="shared" si="1"/>
        <v>428</v>
      </c>
      <c r="AE10" s="11">
        <f t="shared" si="2"/>
        <v>9</v>
      </c>
      <c r="AF10" s="37">
        <v>2</v>
      </c>
      <c r="AG10" s="10">
        <v>1</v>
      </c>
      <c r="AH10" s="38">
        <f t="shared" si="3"/>
        <v>170</v>
      </c>
      <c r="AI10" s="66">
        <f t="shared" si="4"/>
        <v>18.888888888888889</v>
      </c>
      <c r="AJ10" s="82"/>
      <c r="AK10" s="38"/>
      <c r="AL10" s="38"/>
      <c r="AM10" s="11"/>
      <c r="AN10" s="56"/>
    </row>
    <row r="11" spans="1:40">
      <c r="A11" s="7" t="s">
        <v>32</v>
      </c>
      <c r="B11" s="8" t="s">
        <v>33</v>
      </c>
      <c r="C11" s="9">
        <f t="shared" si="0"/>
        <v>12</v>
      </c>
      <c r="D11" s="48"/>
      <c r="E11" s="49"/>
      <c r="F11" s="14"/>
      <c r="G11" s="10"/>
      <c r="H11" s="48"/>
      <c r="I11" s="49"/>
      <c r="J11" s="14"/>
      <c r="K11" s="10"/>
      <c r="L11" s="14"/>
      <c r="M11" s="10"/>
      <c r="N11" s="14"/>
      <c r="O11" s="10"/>
      <c r="P11" s="39">
        <v>47</v>
      </c>
      <c r="Q11" s="10">
        <v>20</v>
      </c>
      <c r="R11" s="39">
        <v>50</v>
      </c>
      <c r="S11" s="10">
        <v>17</v>
      </c>
      <c r="T11" s="39">
        <v>46</v>
      </c>
      <c r="U11" s="10">
        <v>21</v>
      </c>
      <c r="V11" s="39">
        <v>47</v>
      </c>
      <c r="W11" s="10">
        <v>19</v>
      </c>
      <c r="X11" s="39">
        <v>44</v>
      </c>
      <c r="Y11" s="10">
        <v>22</v>
      </c>
      <c r="Z11" s="39">
        <v>52</v>
      </c>
      <c r="AA11" s="75">
        <v>14</v>
      </c>
      <c r="AB11" s="39">
        <v>47</v>
      </c>
      <c r="AC11" s="75">
        <v>19</v>
      </c>
      <c r="AD11" s="62">
        <f t="shared" si="1"/>
        <v>333</v>
      </c>
      <c r="AE11" s="11">
        <f t="shared" si="2"/>
        <v>7</v>
      </c>
      <c r="AF11" s="37"/>
      <c r="AG11" s="10"/>
      <c r="AH11" s="38">
        <f t="shared" si="3"/>
        <v>132</v>
      </c>
      <c r="AI11" s="66">
        <f t="shared" si="4"/>
        <v>18.857142857142858</v>
      </c>
      <c r="AJ11" s="55"/>
      <c r="AK11" s="38"/>
      <c r="AL11" s="38"/>
      <c r="AM11" s="11"/>
      <c r="AN11" s="56"/>
    </row>
    <row r="12" spans="1:40">
      <c r="A12" s="7" t="s">
        <v>30</v>
      </c>
      <c r="B12" s="8" t="s">
        <v>31</v>
      </c>
      <c r="C12" s="9">
        <f t="shared" si="0"/>
        <v>15</v>
      </c>
      <c r="D12" s="48"/>
      <c r="E12" s="49"/>
      <c r="F12" s="12">
        <v>51</v>
      </c>
      <c r="G12" s="10">
        <v>18</v>
      </c>
      <c r="H12" s="48"/>
      <c r="I12" s="49"/>
      <c r="J12" s="12"/>
      <c r="K12" s="10"/>
      <c r="L12" s="12"/>
      <c r="M12" s="10"/>
      <c r="N12" s="12">
        <v>51</v>
      </c>
      <c r="O12" s="10">
        <v>18</v>
      </c>
      <c r="P12" s="12">
        <v>52</v>
      </c>
      <c r="Q12" s="10">
        <v>17</v>
      </c>
      <c r="R12" s="12"/>
      <c r="S12" s="10"/>
      <c r="T12" s="12"/>
      <c r="U12" s="10"/>
      <c r="V12" s="12"/>
      <c r="W12" s="10"/>
      <c r="X12" s="12">
        <v>48</v>
      </c>
      <c r="Y12" s="10">
        <v>21</v>
      </c>
      <c r="Z12" s="69"/>
      <c r="AA12" s="75"/>
      <c r="AB12" s="69">
        <v>51</v>
      </c>
      <c r="AC12" s="75">
        <v>18</v>
      </c>
      <c r="AD12" s="62">
        <f t="shared" si="1"/>
        <v>253</v>
      </c>
      <c r="AE12" s="11">
        <f t="shared" si="2"/>
        <v>5</v>
      </c>
      <c r="AF12" s="37"/>
      <c r="AG12" s="10"/>
      <c r="AH12" s="38">
        <f t="shared" si="3"/>
        <v>92</v>
      </c>
      <c r="AI12" s="66">
        <f t="shared" si="4"/>
        <v>18.399999999999999</v>
      </c>
      <c r="AJ12" s="58"/>
      <c r="AK12" s="38"/>
      <c r="AL12" s="38"/>
      <c r="AM12" s="11"/>
      <c r="AN12" s="56"/>
    </row>
    <row r="13" spans="1:40">
      <c r="A13" s="7" t="s">
        <v>25</v>
      </c>
      <c r="B13" s="8" t="s">
        <v>26</v>
      </c>
      <c r="C13" s="9">
        <f t="shared" si="0"/>
        <v>8</v>
      </c>
      <c r="D13" s="48"/>
      <c r="E13" s="49"/>
      <c r="F13" s="12">
        <v>41</v>
      </c>
      <c r="G13" s="10">
        <v>21</v>
      </c>
      <c r="H13" s="48"/>
      <c r="I13" s="49"/>
      <c r="J13" s="12"/>
      <c r="K13" s="10"/>
      <c r="L13" s="12"/>
      <c r="M13" s="10"/>
      <c r="N13" s="52">
        <v>48</v>
      </c>
      <c r="O13" s="10">
        <v>14</v>
      </c>
      <c r="P13" s="39">
        <v>44</v>
      </c>
      <c r="Q13" s="10">
        <v>18</v>
      </c>
      <c r="R13" s="39"/>
      <c r="S13" s="10"/>
      <c r="T13" s="39"/>
      <c r="U13" s="10"/>
      <c r="V13" s="39"/>
      <c r="W13" s="10"/>
      <c r="X13" s="13">
        <v>40</v>
      </c>
      <c r="Y13" s="10">
        <v>22</v>
      </c>
      <c r="Z13" s="39">
        <v>44</v>
      </c>
      <c r="AA13" s="75">
        <v>17</v>
      </c>
      <c r="AB13" s="39">
        <v>46</v>
      </c>
      <c r="AC13" s="75">
        <v>16</v>
      </c>
      <c r="AD13" s="62">
        <f t="shared" si="1"/>
        <v>263</v>
      </c>
      <c r="AE13" s="11">
        <f t="shared" si="2"/>
        <v>6</v>
      </c>
      <c r="AF13" s="37">
        <v>1</v>
      </c>
      <c r="AG13" s="10">
        <v>1</v>
      </c>
      <c r="AH13" s="38">
        <f t="shared" si="3"/>
        <v>110</v>
      </c>
      <c r="AI13" s="66">
        <f t="shared" si="4"/>
        <v>18.333333333333332</v>
      </c>
      <c r="AJ13" s="58"/>
      <c r="AK13" s="38"/>
      <c r="AL13" s="38"/>
      <c r="AM13" s="11"/>
      <c r="AN13" s="56"/>
    </row>
    <row r="14" spans="1:40">
      <c r="A14" s="7" t="s">
        <v>17</v>
      </c>
      <c r="B14" s="8" t="s">
        <v>11</v>
      </c>
      <c r="C14" s="9">
        <f t="shared" si="0"/>
        <v>22</v>
      </c>
      <c r="D14" s="48"/>
      <c r="E14" s="49"/>
      <c r="F14" s="12">
        <v>59</v>
      </c>
      <c r="G14" s="10">
        <v>17</v>
      </c>
      <c r="H14" s="48"/>
      <c r="I14" s="49"/>
      <c r="J14" s="12"/>
      <c r="K14" s="10"/>
      <c r="L14" s="12"/>
      <c r="M14" s="10"/>
      <c r="N14" s="12"/>
      <c r="O14" s="10"/>
      <c r="P14" s="12"/>
      <c r="Q14" s="10"/>
      <c r="R14" s="12">
        <v>55</v>
      </c>
      <c r="S14" s="10">
        <v>21</v>
      </c>
      <c r="T14" s="12"/>
      <c r="U14" s="10"/>
      <c r="V14" s="12">
        <v>59</v>
      </c>
      <c r="W14" s="10">
        <v>17</v>
      </c>
      <c r="X14" s="12"/>
      <c r="Y14" s="10"/>
      <c r="Z14" s="69"/>
      <c r="AA14" s="75"/>
      <c r="AB14" s="69"/>
      <c r="AC14" s="75"/>
      <c r="AD14" s="62">
        <f t="shared" si="1"/>
        <v>173</v>
      </c>
      <c r="AE14" s="11">
        <f t="shared" si="2"/>
        <v>3</v>
      </c>
      <c r="AF14" s="37"/>
      <c r="AG14" s="10"/>
      <c r="AH14" s="38">
        <f t="shared" si="3"/>
        <v>55</v>
      </c>
      <c r="AI14" s="66">
        <f t="shared" si="4"/>
        <v>18.333333333333332</v>
      </c>
      <c r="AJ14" s="58"/>
      <c r="AK14" s="38"/>
      <c r="AL14" s="38"/>
      <c r="AM14" s="11"/>
      <c r="AN14" s="56"/>
    </row>
    <row r="15" spans="1:40">
      <c r="A15" s="7" t="s">
        <v>18</v>
      </c>
      <c r="B15" s="8" t="s">
        <v>19</v>
      </c>
      <c r="C15" s="9">
        <f>ROUND((AD15-(36*AE15))/AE15,0)</f>
        <v>9</v>
      </c>
      <c r="D15" s="48"/>
      <c r="E15" s="49"/>
      <c r="F15" s="12">
        <v>46</v>
      </c>
      <c r="G15" s="10">
        <v>16</v>
      </c>
      <c r="H15" s="48"/>
      <c r="I15" s="49"/>
      <c r="J15" s="12"/>
      <c r="K15" s="10"/>
      <c r="L15" s="12"/>
      <c r="M15" s="10"/>
      <c r="N15" s="12">
        <v>42</v>
      </c>
      <c r="O15" s="10">
        <v>20</v>
      </c>
      <c r="P15" s="12">
        <v>43</v>
      </c>
      <c r="Q15" s="10">
        <v>19</v>
      </c>
      <c r="R15" s="12"/>
      <c r="S15" s="10"/>
      <c r="T15" s="12"/>
      <c r="U15" s="10"/>
      <c r="V15" s="12"/>
      <c r="W15" s="10"/>
      <c r="X15" s="12">
        <v>47</v>
      </c>
      <c r="Y15" s="10">
        <v>16</v>
      </c>
      <c r="Z15" s="68">
        <v>41</v>
      </c>
      <c r="AA15" s="75">
        <v>22</v>
      </c>
      <c r="AB15" s="78">
        <v>50</v>
      </c>
      <c r="AC15" s="75">
        <v>13</v>
      </c>
      <c r="AD15" s="62">
        <f t="shared" si="1"/>
        <v>269</v>
      </c>
      <c r="AE15" s="11">
        <f t="shared" si="2"/>
        <v>6</v>
      </c>
      <c r="AF15" s="37">
        <v>2</v>
      </c>
      <c r="AG15" s="10">
        <v>1</v>
      </c>
      <c r="AH15" s="38">
        <f t="shared" si="3"/>
        <v>109</v>
      </c>
      <c r="AI15" s="66">
        <f t="shared" si="4"/>
        <v>18.166666666666668</v>
      </c>
      <c r="AJ15" s="58"/>
      <c r="AK15" s="38"/>
      <c r="AL15" s="38"/>
      <c r="AM15" s="11"/>
      <c r="AN15" s="56"/>
    </row>
    <row r="16" spans="1:40">
      <c r="A16" s="7" t="s">
        <v>20</v>
      </c>
      <c r="B16" s="8" t="s">
        <v>15</v>
      </c>
      <c r="C16" s="9">
        <f>ROUND((AD16-(36*AE16))/AE16,0)</f>
        <v>18</v>
      </c>
      <c r="D16" s="48"/>
      <c r="E16" s="49"/>
      <c r="F16" s="12">
        <v>55</v>
      </c>
      <c r="G16" s="10">
        <v>16</v>
      </c>
      <c r="H16" s="48"/>
      <c r="I16" s="49"/>
      <c r="J16" s="12"/>
      <c r="K16" s="10"/>
      <c r="L16" s="12">
        <v>56</v>
      </c>
      <c r="M16" s="10">
        <v>15</v>
      </c>
      <c r="N16" s="12">
        <v>57</v>
      </c>
      <c r="O16" s="10">
        <v>14</v>
      </c>
      <c r="P16" s="12"/>
      <c r="Q16" s="10"/>
      <c r="R16" s="12"/>
      <c r="S16" s="10"/>
      <c r="T16" s="68">
        <v>49</v>
      </c>
      <c r="U16" s="10">
        <v>22</v>
      </c>
      <c r="V16" s="68">
        <v>58</v>
      </c>
      <c r="W16" s="10">
        <v>14</v>
      </c>
      <c r="X16" s="69">
        <v>50</v>
      </c>
      <c r="Y16" s="10">
        <v>23</v>
      </c>
      <c r="Z16" s="69">
        <v>56</v>
      </c>
      <c r="AA16" s="10">
        <v>16</v>
      </c>
      <c r="AB16" s="68">
        <v>49</v>
      </c>
      <c r="AC16" s="75">
        <v>23</v>
      </c>
      <c r="AD16" s="62">
        <f t="shared" si="1"/>
        <v>430</v>
      </c>
      <c r="AE16" s="11">
        <f t="shared" si="2"/>
        <v>8</v>
      </c>
      <c r="AF16" s="37">
        <v>2</v>
      </c>
      <c r="AG16" s="10"/>
      <c r="AH16" s="38">
        <f t="shared" si="3"/>
        <v>145</v>
      </c>
      <c r="AI16" s="66">
        <f t="shared" si="4"/>
        <v>18.125</v>
      </c>
      <c r="AJ16" s="58"/>
      <c r="AK16" s="38"/>
      <c r="AL16" s="38"/>
      <c r="AM16" s="11"/>
      <c r="AN16" s="56"/>
    </row>
    <row r="17" spans="1:40">
      <c r="A17" s="7" t="s">
        <v>30</v>
      </c>
      <c r="B17" s="8" t="s">
        <v>38</v>
      </c>
      <c r="C17" s="9">
        <f>ROUND((AD17-(36*AE17))/AE17,0)</f>
        <v>13</v>
      </c>
      <c r="D17" s="48"/>
      <c r="E17" s="49"/>
      <c r="F17" s="12"/>
      <c r="G17" s="10"/>
      <c r="H17" s="48"/>
      <c r="I17" s="49"/>
      <c r="J17" s="12"/>
      <c r="K17" s="10"/>
      <c r="L17" s="12"/>
      <c r="M17" s="10"/>
      <c r="N17" s="12"/>
      <c r="O17" s="10"/>
      <c r="P17" s="12">
        <v>48</v>
      </c>
      <c r="Q17" s="10">
        <v>18</v>
      </c>
      <c r="R17" s="12">
        <v>51</v>
      </c>
      <c r="S17" s="10">
        <v>14</v>
      </c>
      <c r="T17" s="12">
        <v>51</v>
      </c>
      <c r="U17" s="10">
        <v>14</v>
      </c>
      <c r="V17" s="12"/>
      <c r="W17" s="10"/>
      <c r="X17" s="12">
        <v>48</v>
      </c>
      <c r="Y17" s="10">
        <v>20</v>
      </c>
      <c r="Z17" s="12">
        <v>50</v>
      </c>
      <c r="AA17" s="10">
        <v>18</v>
      </c>
      <c r="AB17" s="69">
        <v>47</v>
      </c>
      <c r="AC17" s="75">
        <v>21</v>
      </c>
      <c r="AD17" s="62">
        <f t="shared" si="1"/>
        <v>295</v>
      </c>
      <c r="AE17" s="11">
        <f t="shared" si="2"/>
        <v>6</v>
      </c>
      <c r="AF17" s="37"/>
      <c r="AG17" s="10"/>
      <c r="AH17" s="38">
        <f t="shared" si="3"/>
        <v>105</v>
      </c>
      <c r="AI17" s="66">
        <f t="shared" si="4"/>
        <v>17.5</v>
      </c>
      <c r="AJ17" s="55"/>
      <c r="AK17" s="38"/>
      <c r="AL17" s="38"/>
      <c r="AM17" s="11"/>
      <c r="AN17" s="56"/>
    </row>
    <row r="18" spans="1:40">
      <c r="A18" s="7" t="s">
        <v>55</v>
      </c>
      <c r="B18" s="8" t="s">
        <v>56</v>
      </c>
      <c r="C18" s="9">
        <f>ROUND((AD18-(36*AE18))/AE18,0)</f>
        <v>10</v>
      </c>
      <c r="D18" s="48"/>
      <c r="E18" s="49"/>
      <c r="F18" s="14"/>
      <c r="G18" s="10"/>
      <c r="H18" s="48"/>
      <c r="I18" s="49"/>
      <c r="J18" s="14"/>
      <c r="K18" s="10"/>
      <c r="L18" s="14"/>
      <c r="M18" s="10"/>
      <c r="N18" s="39">
        <v>45</v>
      </c>
      <c r="O18" s="10">
        <v>18</v>
      </c>
      <c r="P18" s="39">
        <v>43</v>
      </c>
      <c r="Q18" s="10">
        <v>20</v>
      </c>
      <c r="R18" s="39"/>
      <c r="S18" s="10"/>
      <c r="T18" s="39"/>
      <c r="U18" s="10"/>
      <c r="V18" s="39"/>
      <c r="W18" s="10"/>
      <c r="X18" s="39">
        <v>48</v>
      </c>
      <c r="Y18" s="10">
        <v>15</v>
      </c>
      <c r="Z18" s="39">
        <v>47</v>
      </c>
      <c r="AA18" s="75">
        <v>16</v>
      </c>
      <c r="AB18" s="39"/>
      <c r="AC18" s="75"/>
      <c r="AD18" s="62">
        <f t="shared" si="1"/>
        <v>183</v>
      </c>
      <c r="AE18" s="11">
        <f t="shared" si="2"/>
        <v>4</v>
      </c>
      <c r="AF18" s="37"/>
      <c r="AG18" s="10">
        <v>1</v>
      </c>
      <c r="AH18" s="38">
        <f t="shared" si="3"/>
        <v>70</v>
      </c>
      <c r="AI18" s="66">
        <f t="shared" si="4"/>
        <v>17.5</v>
      </c>
      <c r="AJ18" s="55"/>
      <c r="AK18" s="38"/>
      <c r="AL18" s="38"/>
      <c r="AM18" s="11"/>
      <c r="AN18" s="56"/>
    </row>
    <row r="19" spans="1:40">
      <c r="A19" s="7" t="s">
        <v>28</v>
      </c>
      <c r="B19" s="8" t="s">
        <v>29</v>
      </c>
      <c r="C19" s="9">
        <f>ROUND((AD19-(36*AE19))/AE19,0)</f>
        <v>12</v>
      </c>
      <c r="D19" s="48"/>
      <c r="E19" s="49"/>
      <c r="F19" s="12">
        <v>46</v>
      </c>
      <c r="G19" s="10">
        <v>18</v>
      </c>
      <c r="H19" s="48"/>
      <c r="I19" s="49"/>
      <c r="J19" s="12"/>
      <c r="K19" s="10"/>
      <c r="L19" s="12">
        <v>46</v>
      </c>
      <c r="M19" s="10">
        <v>18</v>
      </c>
      <c r="N19" s="12">
        <v>46</v>
      </c>
      <c r="O19" s="10">
        <v>18</v>
      </c>
      <c r="P19" s="12">
        <v>46</v>
      </c>
      <c r="Q19" s="10">
        <v>18</v>
      </c>
      <c r="R19" s="12">
        <v>47</v>
      </c>
      <c r="S19" s="10">
        <v>14</v>
      </c>
      <c r="T19" s="12">
        <v>52</v>
      </c>
      <c r="U19" s="10">
        <v>13</v>
      </c>
      <c r="V19" s="12"/>
      <c r="W19" s="10"/>
      <c r="X19" s="12"/>
      <c r="Y19" s="10"/>
      <c r="Z19" s="12">
        <v>50</v>
      </c>
      <c r="AA19" s="10">
        <v>15</v>
      </c>
      <c r="AB19" s="69"/>
      <c r="AC19" s="75"/>
      <c r="AD19" s="62">
        <f t="shared" si="1"/>
        <v>333</v>
      </c>
      <c r="AE19" s="11">
        <f t="shared" si="2"/>
        <v>7</v>
      </c>
      <c r="AF19" s="40"/>
      <c r="AG19" s="30"/>
      <c r="AH19" s="38">
        <f t="shared" si="3"/>
        <v>114</v>
      </c>
      <c r="AI19" s="66">
        <f t="shared" si="4"/>
        <v>16.285714285714285</v>
      </c>
      <c r="AJ19" s="58"/>
      <c r="AK19" s="11"/>
      <c r="AL19" s="11"/>
      <c r="AM19" s="11"/>
      <c r="AN19" s="56"/>
    </row>
    <row r="20" spans="1:40">
      <c r="A20" s="7" t="s">
        <v>23</v>
      </c>
      <c r="B20" s="8" t="s">
        <v>24</v>
      </c>
      <c r="C20" s="9">
        <f>ROUND((AD20-(36*AE20))/AE20,0)</f>
        <v>24</v>
      </c>
      <c r="D20" s="48"/>
      <c r="E20" s="49"/>
      <c r="F20" s="13">
        <v>61</v>
      </c>
      <c r="G20" s="10">
        <v>14</v>
      </c>
      <c r="H20" s="48"/>
      <c r="I20" s="49"/>
      <c r="J20" s="13">
        <v>56</v>
      </c>
      <c r="K20" s="10">
        <v>19</v>
      </c>
      <c r="L20" s="39">
        <v>60</v>
      </c>
      <c r="M20" s="10">
        <v>15</v>
      </c>
      <c r="N20" s="39">
        <v>56</v>
      </c>
      <c r="O20" s="10">
        <v>20</v>
      </c>
      <c r="P20" s="39">
        <v>54</v>
      </c>
      <c r="Q20" s="10">
        <v>22</v>
      </c>
      <c r="R20" s="39"/>
      <c r="S20" s="10"/>
      <c r="T20" s="39">
        <v>66</v>
      </c>
      <c r="U20" s="10">
        <v>9</v>
      </c>
      <c r="V20" s="39">
        <v>55</v>
      </c>
      <c r="W20" s="10">
        <v>22</v>
      </c>
      <c r="X20" s="39"/>
      <c r="Y20" s="10"/>
      <c r="Z20" s="39">
        <v>70</v>
      </c>
      <c r="AA20" s="75">
        <v>6</v>
      </c>
      <c r="AB20" s="39">
        <v>63</v>
      </c>
      <c r="AC20" s="75">
        <v>15</v>
      </c>
      <c r="AD20" s="62">
        <f t="shared" si="1"/>
        <v>541</v>
      </c>
      <c r="AE20" s="11">
        <f t="shared" si="2"/>
        <v>9</v>
      </c>
      <c r="AF20" s="37">
        <v>2</v>
      </c>
      <c r="AG20" s="10"/>
      <c r="AH20" s="38">
        <f t="shared" si="3"/>
        <v>144</v>
      </c>
      <c r="AI20" s="66">
        <f t="shared" si="4"/>
        <v>16</v>
      </c>
      <c r="AJ20" s="55"/>
      <c r="AK20" s="38"/>
      <c r="AL20" s="38"/>
      <c r="AM20" s="11"/>
      <c r="AN20" s="56"/>
    </row>
    <row r="21" spans="1:40">
      <c r="A21" s="7" t="s">
        <v>21</v>
      </c>
      <c r="B21" s="8" t="s">
        <v>22</v>
      </c>
      <c r="C21" s="9">
        <v>18</v>
      </c>
      <c r="D21" s="48"/>
      <c r="E21" s="49"/>
      <c r="F21" s="12">
        <v>56</v>
      </c>
      <c r="G21" s="10">
        <v>16</v>
      </c>
      <c r="H21" s="48"/>
      <c r="I21" s="49"/>
      <c r="J21" s="12"/>
      <c r="K21" s="10"/>
      <c r="L21" s="12"/>
      <c r="M21" s="10"/>
      <c r="N21" s="12"/>
      <c r="O21" s="10"/>
      <c r="P21" s="12"/>
      <c r="Q21" s="10"/>
      <c r="R21" s="12"/>
      <c r="S21" s="10"/>
      <c r="T21" s="12"/>
      <c r="U21" s="10"/>
      <c r="V21" s="12"/>
      <c r="W21" s="10"/>
      <c r="X21" s="12"/>
      <c r="Y21" s="10"/>
      <c r="Z21" s="12"/>
      <c r="AA21" s="10"/>
      <c r="AB21" s="69"/>
      <c r="AC21" s="75"/>
      <c r="AD21" s="62">
        <f t="shared" si="1"/>
        <v>56</v>
      </c>
      <c r="AE21" s="11">
        <f t="shared" si="2"/>
        <v>1</v>
      </c>
      <c r="AF21" s="37"/>
      <c r="AG21" s="10"/>
      <c r="AH21" s="38">
        <f t="shared" si="3"/>
        <v>16</v>
      </c>
      <c r="AI21" s="66">
        <f t="shared" si="4"/>
        <v>16</v>
      </c>
      <c r="AJ21" s="58"/>
      <c r="AK21" s="38"/>
      <c r="AL21" s="38"/>
      <c r="AM21" s="11"/>
      <c r="AN21" s="56"/>
    </row>
    <row r="22" spans="1:40" ht="16.5" thickBot="1">
      <c r="A22" s="15" t="s">
        <v>48</v>
      </c>
      <c r="B22" s="16" t="s">
        <v>49</v>
      </c>
      <c r="C22" s="17" t="s">
        <v>27</v>
      </c>
      <c r="D22" s="50"/>
      <c r="E22" s="51"/>
      <c r="F22" s="72"/>
      <c r="G22" s="18"/>
      <c r="H22" s="50"/>
      <c r="I22" s="51"/>
      <c r="J22" s="72"/>
      <c r="K22" s="18"/>
      <c r="L22" s="73">
        <v>50</v>
      </c>
      <c r="M22" s="18"/>
      <c r="N22" s="73"/>
      <c r="O22" s="18"/>
      <c r="P22" s="73"/>
      <c r="Q22" s="18"/>
      <c r="R22" s="73"/>
      <c r="S22" s="18"/>
      <c r="T22" s="73"/>
      <c r="U22" s="18"/>
      <c r="V22" s="73"/>
      <c r="W22" s="18"/>
      <c r="X22" s="73"/>
      <c r="Y22" s="18"/>
      <c r="Z22" s="73"/>
      <c r="AA22" s="18"/>
      <c r="AB22" s="73"/>
      <c r="AC22" s="18"/>
      <c r="AD22" s="63">
        <f t="shared" si="1"/>
        <v>50</v>
      </c>
      <c r="AE22" s="19">
        <f t="shared" si="2"/>
        <v>1</v>
      </c>
      <c r="AF22" s="41">
        <v>1</v>
      </c>
      <c r="AG22" s="18"/>
      <c r="AH22" s="42">
        <f t="shared" si="3"/>
        <v>1</v>
      </c>
      <c r="AI22" s="67">
        <f t="shared" si="4"/>
        <v>1</v>
      </c>
      <c r="AJ22" s="59"/>
      <c r="AK22" s="42"/>
      <c r="AL22" s="42"/>
      <c r="AM22" s="19"/>
      <c r="AN22" s="60"/>
    </row>
    <row r="23" spans="1:40" s="20" customFormat="1" ht="16.5" thickBot="1">
      <c r="A23" s="31"/>
      <c r="B23" s="32"/>
      <c r="C23" s="32"/>
      <c r="D23" s="33"/>
      <c r="E23" s="33"/>
      <c r="F23" s="33">
        <f>AVERAGEIF(F4:F22,"&gt;0")</f>
        <v>49.75</v>
      </c>
      <c r="G23" s="33"/>
      <c r="H23" s="33"/>
      <c r="I23" s="33"/>
      <c r="J23" s="33">
        <f>AVERAGEIF(J4:J22,"&gt;0")</f>
        <v>54</v>
      </c>
      <c r="K23" s="33"/>
      <c r="L23" s="33">
        <f>AVERAGEIF(L4:L22,"&gt;0")</f>
        <v>51.428571428571431</v>
      </c>
      <c r="M23" s="33"/>
      <c r="N23" s="33">
        <f>AVERAGEIF(N4:N22,"&gt;0")</f>
        <v>48.9</v>
      </c>
      <c r="O23" s="33"/>
      <c r="P23" s="33">
        <f>AVERAGEIF(P4:P22,"&gt;0")</f>
        <v>46.785714285714285</v>
      </c>
      <c r="Q23" s="33"/>
      <c r="R23" s="33">
        <f>AVERAGEIF(R4:R22,"&gt;0")</f>
        <v>48.272727272727273</v>
      </c>
      <c r="S23" s="33"/>
      <c r="T23" s="33">
        <f>AVERAGEIF(T4:T22,"&gt;0")</f>
        <v>50.333333333333336</v>
      </c>
      <c r="U23" s="33"/>
      <c r="V23" s="33">
        <f>AVERAGEIF(V4:V22,"&gt;0")</f>
        <v>49</v>
      </c>
      <c r="W23" s="33"/>
      <c r="X23" s="33">
        <f>AVERAGEIF(X4:X22,"&gt;0")</f>
        <v>46.46153846153846</v>
      </c>
      <c r="Y23" s="33"/>
      <c r="Z23" s="33">
        <f>AVERAGEIF(Z4:Z22,"&gt;0")</f>
        <v>49.53846153846154</v>
      </c>
      <c r="AA23" s="33"/>
      <c r="AB23" s="33">
        <f>AVERAGEIF(AB4:AB22,"&gt;0")</f>
        <v>47.846153846153847</v>
      </c>
      <c r="AC23" s="33"/>
      <c r="AD23" s="34"/>
    </row>
    <row r="24" spans="1:40">
      <c r="C24" s="21"/>
      <c r="AD24" s="22"/>
      <c r="AE24" s="22"/>
      <c r="AF24" s="23"/>
      <c r="AG24" s="23"/>
      <c r="AH24" s="22"/>
      <c r="AI24" s="24"/>
    </row>
    <row r="25" spans="1:40">
      <c r="C25" s="43" t="s">
        <v>41</v>
      </c>
      <c r="D25" s="25" t="s">
        <v>50</v>
      </c>
      <c r="F25" s="25"/>
      <c r="H25" s="25"/>
      <c r="J25" s="25"/>
      <c r="L25" s="25"/>
      <c r="N25" s="25"/>
      <c r="P25" s="25"/>
      <c r="R25" s="25"/>
      <c r="T25" s="25"/>
      <c r="V25" s="25"/>
      <c r="X25" s="25"/>
      <c r="Z25" s="25"/>
      <c r="AB25" s="25"/>
    </row>
    <row r="26" spans="1:40">
      <c r="C26" s="44" t="s">
        <v>42</v>
      </c>
      <c r="D26" s="26" t="s">
        <v>51</v>
      </c>
      <c r="F26" s="26"/>
      <c r="H26" s="26"/>
      <c r="J26" s="26"/>
      <c r="L26" s="26"/>
      <c r="N26" s="26"/>
      <c r="P26" s="26"/>
      <c r="R26" s="26"/>
      <c r="T26" s="26"/>
      <c r="V26" s="26"/>
      <c r="X26" s="26"/>
      <c r="Z26" s="26"/>
      <c r="AB26" s="26"/>
      <c r="AD26" s="27"/>
    </row>
    <row r="27" spans="1:40">
      <c r="C27" s="45" t="s">
        <v>46</v>
      </c>
      <c r="D27" s="28" t="s">
        <v>52</v>
      </c>
      <c r="E27" s="29"/>
      <c r="F27" s="28"/>
      <c r="G27" s="29"/>
      <c r="H27" s="28"/>
      <c r="I27" s="29"/>
      <c r="J27" s="28"/>
      <c r="K27" s="29"/>
      <c r="L27" s="28"/>
      <c r="M27" s="29"/>
      <c r="N27" s="28"/>
      <c r="O27" s="29"/>
      <c r="P27" s="28"/>
      <c r="Q27" s="29"/>
      <c r="R27" s="28"/>
      <c r="S27" s="29"/>
      <c r="T27" s="28"/>
      <c r="U27" s="29"/>
      <c r="V27" s="28"/>
      <c r="W27" s="29"/>
      <c r="X27" s="28"/>
      <c r="Y27" s="29"/>
      <c r="Z27" s="28"/>
      <c r="AA27" s="29"/>
      <c r="AB27" s="28"/>
      <c r="AC27" s="29"/>
    </row>
  </sheetData>
  <sortState xmlns:xlrd2="http://schemas.microsoft.com/office/spreadsheetml/2017/richdata2" ref="A4:AN22">
    <sortCondition descending="1" ref="AI4:AI22"/>
    <sortCondition descending="1" ref="AD4:AD22"/>
  </sortState>
  <mergeCells count="41">
    <mergeCell ref="AB2:AC2"/>
    <mergeCell ref="AJ1:AN1"/>
    <mergeCell ref="AJ2:AJ3"/>
    <mergeCell ref="AK2:AK3"/>
    <mergeCell ref="AL2:AL3"/>
    <mergeCell ref="AM2:AM3"/>
    <mergeCell ref="AN2:AN3"/>
    <mergeCell ref="AH2:AH3"/>
    <mergeCell ref="AI2:AI3"/>
    <mergeCell ref="AF2:AF3"/>
    <mergeCell ref="AG2:AG3"/>
    <mergeCell ref="AE2:AE3"/>
    <mergeCell ref="N1:O1"/>
    <mergeCell ref="AD1:AD3"/>
    <mergeCell ref="AE1:AI1"/>
    <mergeCell ref="N2:O2"/>
    <mergeCell ref="P1:Q1"/>
    <mergeCell ref="P2:Q2"/>
    <mergeCell ref="R1:S1"/>
    <mergeCell ref="R2:S2"/>
    <mergeCell ref="T1:U1"/>
    <mergeCell ref="Z2:AA2"/>
    <mergeCell ref="V1:W1"/>
    <mergeCell ref="Z1:AA1"/>
    <mergeCell ref="AB1:AC1"/>
    <mergeCell ref="A1:B3"/>
    <mergeCell ref="C1:C3"/>
    <mergeCell ref="D1:E1"/>
    <mergeCell ref="D2:E2"/>
    <mergeCell ref="F1:G1"/>
    <mergeCell ref="F2:G2"/>
    <mergeCell ref="V2:W2"/>
    <mergeCell ref="X1:Y1"/>
    <mergeCell ref="X2:Y2"/>
    <mergeCell ref="H1:I1"/>
    <mergeCell ref="H2:I2"/>
    <mergeCell ref="J1:K1"/>
    <mergeCell ref="J2:K2"/>
    <mergeCell ref="T2:U2"/>
    <mergeCell ref="L1:M1"/>
    <mergeCell ref="L2:M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Hutter, Mark</cp:lastModifiedBy>
  <cp:lastPrinted>2025-07-21T19:48:35Z</cp:lastPrinted>
  <dcterms:created xsi:type="dcterms:W3CDTF">2025-05-15T01:18:57Z</dcterms:created>
  <dcterms:modified xsi:type="dcterms:W3CDTF">2025-08-05T21:57:14Z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