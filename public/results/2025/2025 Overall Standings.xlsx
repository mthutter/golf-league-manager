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D6A08374-C824-1D4B-B357-6065B8F394EF}" xr6:coauthVersionLast="47" xr6:coauthVersionMax="47" xr10:uidLastSave="{00000000-0000-0000-0000-000000000000}"/>
  <bookViews>
    <workbookView xWindow="44380" yWindow="1480" windowWidth="26740" windowHeight="181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" i="1" l="1"/>
  <c r="AB6" i="1"/>
  <c r="AB7" i="1"/>
  <c r="AB10" i="1"/>
  <c r="AB11" i="1"/>
  <c r="AB13" i="1"/>
  <c r="AB12" i="1"/>
  <c r="AB8" i="1"/>
  <c r="AB9" i="1"/>
  <c r="AB14" i="1"/>
  <c r="AB15" i="1"/>
  <c r="AB18" i="1"/>
  <c r="AB16" i="1"/>
  <c r="AB17" i="1"/>
  <c r="AB19" i="1"/>
  <c r="AB20" i="1"/>
  <c r="AB21" i="1"/>
  <c r="AB22" i="1"/>
  <c r="AB4" i="1"/>
  <c r="Y12" i="1"/>
  <c r="Y8" i="1"/>
  <c r="Y9" i="1"/>
  <c r="Y14" i="1"/>
  <c r="Y15" i="1"/>
  <c r="Y18" i="1"/>
  <c r="Y16" i="1"/>
  <c r="Y17" i="1"/>
  <c r="Y19" i="1"/>
  <c r="Y20" i="1"/>
  <c r="Y21" i="1"/>
  <c r="Y22" i="1"/>
  <c r="Y5" i="1"/>
  <c r="Y6" i="1"/>
  <c r="Y7" i="1"/>
  <c r="Y10" i="1"/>
  <c r="Y11" i="1"/>
  <c r="Y13" i="1"/>
  <c r="Y4" i="1"/>
  <c r="X5" i="1"/>
  <c r="X6" i="1"/>
  <c r="X7" i="1"/>
  <c r="X10" i="1"/>
  <c r="X11" i="1"/>
  <c r="X13" i="1"/>
  <c r="X12" i="1"/>
  <c r="X8" i="1"/>
  <c r="X9" i="1"/>
  <c r="X14" i="1"/>
  <c r="X15" i="1"/>
  <c r="X18" i="1"/>
  <c r="X16" i="1"/>
  <c r="X17" i="1"/>
  <c r="X19" i="1"/>
  <c r="X20" i="1"/>
  <c r="X21" i="1"/>
  <c r="X22" i="1"/>
  <c r="X4" i="1"/>
  <c r="C4" i="1" s="1"/>
  <c r="V23" i="1"/>
  <c r="C15" i="1" l="1"/>
  <c r="C14" i="1"/>
  <c r="C8" i="1"/>
  <c r="C5" i="1"/>
  <c r="C7" i="1"/>
  <c r="C6" i="1"/>
  <c r="C11" i="1"/>
  <c r="C12" i="1"/>
  <c r="C16" i="1"/>
  <c r="C17" i="1"/>
  <c r="T23" i="1"/>
  <c r="R23" i="1"/>
  <c r="C18" i="1" l="1"/>
  <c r="C20" i="1"/>
  <c r="C10" i="1"/>
  <c r="AC9" i="1"/>
  <c r="AC8" i="1"/>
  <c r="AC17" i="1"/>
  <c r="AC16" i="1"/>
  <c r="AC13" i="1"/>
  <c r="AC19" i="1"/>
  <c r="AC18" i="1"/>
  <c r="AC14" i="1"/>
  <c r="AC10" i="1"/>
  <c r="AC4" i="1"/>
  <c r="AC20" i="1"/>
  <c r="P23" i="1"/>
  <c r="AC21" i="1" l="1"/>
  <c r="AC7" i="1"/>
  <c r="AC12" i="1"/>
  <c r="AC6" i="1"/>
  <c r="AC22" i="1"/>
  <c r="AC11" i="1"/>
  <c r="AC15" i="1"/>
  <c r="N23" i="1" l="1"/>
  <c r="L23" i="1"/>
  <c r="J23" i="1"/>
  <c r="F23" i="1"/>
  <c r="AC5" i="1" l="1"/>
</calcChain>
</file>

<file path=xl/sharedStrings.xml><?xml version="1.0" encoding="utf-8"?>
<sst xmlns="http://schemas.openxmlformats.org/spreadsheetml/2006/main" count="92" uniqueCount="64">
  <si>
    <t>PLAYERS</t>
  </si>
  <si>
    <t>WEEK 1</t>
  </si>
  <si>
    <t>Total Strokes</t>
  </si>
  <si>
    <t>FIRST HALF (11 Rounds)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</si>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</sst>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1" fontId="0" fillId="0" borderId="30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27" xfId="0" applyFont="1" applyBorder="1" applyAlignment="1">
      <alignment horizontal="center" vertic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13" fillId="0" borderId="27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14" fillId="0" borderId="27" xfId="0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6" fillId="0" borderId="27" xfId="0" applyNumberFormat="1" applyFont="1" applyBorder="1" applyAlignment="1">
      <alignment horizontal="center"/>
    </xf>
    <xf numFmtId="1" fontId="14" fillId="0" borderId="20" xfId="0" applyNumberFormat="1" applyFont="1" applyBorder="1" applyAlignment="1">
      <alignment horizontal="center"/>
    </xf>
    <xf numFmtId="0" fontId="10" fillId="0" borderId="33" xfId="0" applyFont="1" applyBorder="1" applyAlignment="1">
      <alignment horizontal="center" vertical="center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17" fillId="0" borderId="15" xfId="0" applyNumberFormat="1" applyFont="1" applyBorder="1" applyAlignment="1">
      <alignment horizontal="center"/>
    </xf>
    <xf numFmtId="1" fontId="16" fillId="0" borderId="27" xfId="0" applyNumberFormat="1" applyFont="1" applyBorder="1" applyAlignment="1">
      <alignment horizontal="center"/>
    </xf>
    <xf numFmtId="1" fontId="5" fillId="0" borderId="9" xfId="0" applyNumberFormat="1" applyFont="1" applyBorder="1" applyAlignment="1">
      <alignment horizontal="center"/>
    </xf>
    <xf numFmtId="1" fontId="14" fillId="0" borderId="9" xfId="0" applyNumberFormat="1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9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AH27"/>
  <sheetViews>
    <sheetView tabSelected="1" workbookViewId="0">
      <selection activeCell="Z26" sqref="Z26"/>
    </sheetView>
  </sheetViews>
  <sheetFormatPr baseColWidth="10" defaultColWidth="8" defaultRowHeight="16"/>
  <cols>
    <col min="1" max="1" width="8.6640625" customWidth="1"/>
    <col min="2" max="2" width="8.1640625" customWidth="1"/>
    <col min="3" max="3" width="10.1640625" customWidth="1"/>
    <col min="4" max="10" width="6.83203125" hidden="1" customWidth="1"/>
    <col min="11" max="11" width="6" hidden="1" customWidth="1"/>
    <col min="12" max="17" width="6.33203125" hidden="1" customWidth="1"/>
    <col min="18" max="23" width="6.33203125" customWidth="1"/>
    <col min="24" max="24" width="8.83203125" customWidth="1"/>
    <col min="25" max="25" width="6.1640625" customWidth="1"/>
    <col min="26" max="26" width="5.83203125" customWidth="1"/>
    <col min="27" max="27" width="5.6640625" customWidth="1"/>
    <col min="28" max="28" width="5.5" customWidth="1"/>
    <col min="29" max="29" width="8" customWidth="1"/>
    <col min="30" max="30" width="7.33203125" hidden="1" customWidth="1"/>
    <col min="31" max="32" width="6" hidden="1" customWidth="1"/>
    <col min="33" max="33" width="7.33203125" hidden="1" customWidth="1"/>
    <col min="34" max="34" width="9.33203125" hidden="1" customWidth="1"/>
  </cols>
  <sheetData>
    <row r="1" spans="1:34" s="57" customFormat="1" ht="16.5" customHeight="1" thickBot="1">
      <c r="A1" s="104" t="s">
        <v>0</v>
      </c>
      <c r="B1" s="105"/>
      <c r="C1" s="110" t="s">
        <v>54</v>
      </c>
      <c r="D1" s="89" t="s">
        <v>1</v>
      </c>
      <c r="E1" s="90"/>
      <c r="F1" s="89" t="s">
        <v>44</v>
      </c>
      <c r="G1" s="90"/>
      <c r="H1" s="89" t="s">
        <v>45</v>
      </c>
      <c r="I1" s="90"/>
      <c r="J1" s="89" t="s">
        <v>46</v>
      </c>
      <c r="K1" s="90"/>
      <c r="L1" s="89" t="s">
        <v>48</v>
      </c>
      <c r="M1" s="90"/>
      <c r="N1" s="89" t="s">
        <v>55</v>
      </c>
      <c r="O1" s="90"/>
      <c r="P1" s="89" t="s">
        <v>60</v>
      </c>
      <c r="Q1" s="90"/>
      <c r="R1" s="89" t="s">
        <v>61</v>
      </c>
      <c r="S1" s="90"/>
      <c r="T1" s="89" t="s">
        <v>62</v>
      </c>
      <c r="U1" s="90"/>
      <c r="V1" s="89" t="s">
        <v>63</v>
      </c>
      <c r="W1" s="90"/>
      <c r="X1" s="99" t="s">
        <v>2</v>
      </c>
      <c r="Y1" s="101" t="s">
        <v>3</v>
      </c>
      <c r="Z1" s="102"/>
      <c r="AA1" s="102"/>
      <c r="AB1" s="102"/>
      <c r="AC1" s="103"/>
      <c r="AD1" s="84" t="s">
        <v>58</v>
      </c>
      <c r="AE1" s="85"/>
      <c r="AF1" s="85"/>
      <c r="AG1" s="85"/>
      <c r="AH1" s="86"/>
    </row>
    <row r="2" spans="1:34" s="57" customFormat="1" ht="15.75" customHeight="1">
      <c r="A2" s="106"/>
      <c r="B2" s="107"/>
      <c r="C2" s="111"/>
      <c r="D2" s="82">
        <v>45782</v>
      </c>
      <c r="E2" s="83"/>
      <c r="F2" s="82">
        <v>45789</v>
      </c>
      <c r="G2" s="83"/>
      <c r="H2" s="82">
        <v>45796</v>
      </c>
      <c r="I2" s="83"/>
      <c r="J2" s="82">
        <v>45803</v>
      </c>
      <c r="K2" s="83"/>
      <c r="L2" s="82">
        <v>45810</v>
      </c>
      <c r="M2" s="83"/>
      <c r="N2" s="82">
        <v>45817</v>
      </c>
      <c r="O2" s="83"/>
      <c r="P2" s="82">
        <v>45824</v>
      </c>
      <c r="Q2" s="83"/>
      <c r="R2" s="82">
        <v>45831</v>
      </c>
      <c r="S2" s="83"/>
      <c r="T2" s="82">
        <v>45838</v>
      </c>
      <c r="U2" s="83"/>
      <c r="V2" s="82">
        <v>45845</v>
      </c>
      <c r="W2" s="83"/>
      <c r="X2" s="100"/>
      <c r="Y2" s="99" t="s">
        <v>4</v>
      </c>
      <c r="Z2" s="95" t="s">
        <v>5</v>
      </c>
      <c r="AA2" s="97" t="s">
        <v>6</v>
      </c>
      <c r="AB2" s="91" t="s">
        <v>7</v>
      </c>
      <c r="AC2" s="93" t="s">
        <v>8</v>
      </c>
      <c r="AD2" s="87" t="s">
        <v>4</v>
      </c>
      <c r="AE2" s="87" t="s">
        <v>5</v>
      </c>
      <c r="AF2" s="87" t="s">
        <v>6</v>
      </c>
      <c r="AG2" s="87" t="s">
        <v>7</v>
      </c>
      <c r="AH2" s="87" t="s">
        <v>8</v>
      </c>
    </row>
    <row r="3" spans="1:34" s="57" customFormat="1" ht="29" customHeight="1" thickBot="1">
      <c r="A3" s="108"/>
      <c r="B3" s="109"/>
      <c r="C3" s="111"/>
      <c r="D3" s="1" t="s">
        <v>9</v>
      </c>
      <c r="E3" s="2" t="s">
        <v>10</v>
      </c>
      <c r="F3" s="1" t="s">
        <v>9</v>
      </c>
      <c r="G3" s="2" t="s">
        <v>10</v>
      </c>
      <c r="H3" s="1" t="s">
        <v>9</v>
      </c>
      <c r="I3" s="2" t="s">
        <v>10</v>
      </c>
      <c r="J3" s="1" t="s">
        <v>9</v>
      </c>
      <c r="K3" s="2" t="s">
        <v>10</v>
      </c>
      <c r="L3" s="1" t="s">
        <v>9</v>
      </c>
      <c r="M3" s="2" t="s">
        <v>10</v>
      </c>
      <c r="N3" s="1" t="s">
        <v>9</v>
      </c>
      <c r="O3" s="2" t="s">
        <v>10</v>
      </c>
      <c r="P3" s="1" t="s">
        <v>9</v>
      </c>
      <c r="Q3" s="2" t="s">
        <v>10</v>
      </c>
      <c r="R3" s="1" t="s">
        <v>9</v>
      </c>
      <c r="S3" s="2" t="s">
        <v>10</v>
      </c>
      <c r="T3" s="1" t="s">
        <v>9</v>
      </c>
      <c r="U3" s="2" t="s">
        <v>10</v>
      </c>
      <c r="V3" s="1" t="s">
        <v>9</v>
      </c>
      <c r="W3" s="2" t="s">
        <v>10</v>
      </c>
      <c r="X3" s="100"/>
      <c r="Y3" s="100"/>
      <c r="Z3" s="96"/>
      <c r="AA3" s="98"/>
      <c r="AB3" s="92"/>
      <c r="AC3" s="94"/>
      <c r="AD3" s="88"/>
      <c r="AE3" s="88"/>
      <c r="AF3" s="88"/>
      <c r="AG3" s="88"/>
      <c r="AH3" s="88"/>
    </row>
    <row r="4" spans="1:34" ht="16" customHeight="1">
      <c r="A4" s="3" t="s">
        <v>37</v>
      </c>
      <c r="B4" s="4" t="s">
        <v>38</v>
      </c>
      <c r="C4" s="5">
        <f>ROUND((X4-(36*Y4))/Y4,0)</f>
        <v>10</v>
      </c>
      <c r="D4" s="50"/>
      <c r="E4" s="51"/>
      <c r="F4" s="6"/>
      <c r="G4" s="7"/>
      <c r="H4" s="50"/>
      <c r="I4" s="51"/>
      <c r="J4" s="6"/>
      <c r="K4" s="7"/>
      <c r="L4" s="6"/>
      <c r="M4" s="7"/>
      <c r="N4" s="6"/>
      <c r="O4" s="7"/>
      <c r="P4" s="6">
        <v>43</v>
      </c>
      <c r="Q4" s="7">
        <v>26</v>
      </c>
      <c r="R4" s="76">
        <v>45</v>
      </c>
      <c r="S4" s="7">
        <v>24</v>
      </c>
      <c r="T4" s="77"/>
      <c r="U4" s="7"/>
      <c r="V4" s="77">
        <v>50</v>
      </c>
      <c r="W4" s="7">
        <v>19</v>
      </c>
      <c r="X4" s="65">
        <f>F4+J4+L4+N4+P4+R4+T4+V4</f>
        <v>138</v>
      </c>
      <c r="Y4" s="8">
        <f>COUNTIF(D4:V4,"&gt;30")</f>
        <v>3</v>
      </c>
      <c r="Z4" s="38">
        <v>1</v>
      </c>
      <c r="AA4" s="7">
        <v>1</v>
      </c>
      <c r="AB4" s="39">
        <f>SUMIF(G4:W4, "&lt;30")+Z4+AA4</f>
        <v>71</v>
      </c>
      <c r="AC4" s="73">
        <f>AB4/Y4</f>
        <v>23.666666666666668</v>
      </c>
      <c r="AD4" s="72"/>
      <c r="AE4" s="39"/>
      <c r="AF4" s="39"/>
      <c r="AG4" s="8"/>
      <c r="AH4" s="58"/>
    </row>
    <row r="5" spans="1:34">
      <c r="A5" s="9" t="s">
        <v>15</v>
      </c>
      <c r="B5" s="10" t="s">
        <v>16</v>
      </c>
      <c r="C5" s="11">
        <f>ROUND((X5-(36*Y5))/Y5,0)</f>
        <v>18</v>
      </c>
      <c r="D5" s="52"/>
      <c r="E5" s="53"/>
      <c r="F5" s="14">
        <v>53</v>
      </c>
      <c r="G5" s="12">
        <v>23</v>
      </c>
      <c r="H5" s="52"/>
      <c r="I5" s="53"/>
      <c r="J5" s="14"/>
      <c r="K5" s="12"/>
      <c r="L5" s="14"/>
      <c r="M5" s="12"/>
      <c r="N5" s="14">
        <v>57</v>
      </c>
      <c r="O5" s="12">
        <v>19</v>
      </c>
      <c r="P5" s="14"/>
      <c r="Q5" s="12"/>
      <c r="R5" s="14">
        <v>50</v>
      </c>
      <c r="S5" s="12">
        <v>26</v>
      </c>
      <c r="T5" s="14">
        <v>56</v>
      </c>
      <c r="U5" s="12">
        <v>15</v>
      </c>
      <c r="V5" s="14"/>
      <c r="W5" s="12"/>
      <c r="X5" s="66">
        <f>F5+J5+L5+N5+P5+R5+T5+V5</f>
        <v>216</v>
      </c>
      <c r="Y5" s="13">
        <f>COUNTIF(D5:V5,"&gt;30")</f>
        <v>4</v>
      </c>
      <c r="Z5" s="40"/>
      <c r="AA5" s="12"/>
      <c r="AB5" s="41">
        <f>SUMIF(G5:W5, "&lt;30")+Z5+AA5</f>
        <v>83</v>
      </c>
      <c r="AC5" s="74">
        <f>AB5/Y5</f>
        <v>20.75</v>
      </c>
      <c r="AD5" s="59"/>
      <c r="AE5" s="41"/>
      <c r="AF5" s="41"/>
      <c r="AG5" s="13"/>
      <c r="AH5" s="60" t="s">
        <v>59</v>
      </c>
    </row>
    <row r="6" spans="1:34">
      <c r="A6" s="9" t="s">
        <v>40</v>
      </c>
      <c r="B6" s="10" t="s">
        <v>41</v>
      </c>
      <c r="C6" s="11">
        <f>ROUND((X6-(36*Y6))/Y6,0)</f>
        <v>13</v>
      </c>
      <c r="D6" s="52"/>
      <c r="E6" s="53"/>
      <c r="F6" s="14"/>
      <c r="G6" s="12"/>
      <c r="H6" s="52"/>
      <c r="I6" s="53"/>
      <c r="J6" s="14">
        <v>52</v>
      </c>
      <c r="K6" s="12">
        <v>17</v>
      </c>
      <c r="L6" s="14"/>
      <c r="M6" s="12"/>
      <c r="N6" s="14">
        <v>46</v>
      </c>
      <c r="O6" s="12">
        <v>23</v>
      </c>
      <c r="P6" s="14">
        <v>46</v>
      </c>
      <c r="Q6" s="12">
        <v>23</v>
      </c>
      <c r="R6" s="14">
        <v>54</v>
      </c>
      <c r="S6" s="12">
        <v>16</v>
      </c>
      <c r="T6" s="14">
        <v>45</v>
      </c>
      <c r="U6" s="12">
        <v>23</v>
      </c>
      <c r="V6" s="14">
        <v>48</v>
      </c>
      <c r="W6" s="12">
        <v>19</v>
      </c>
      <c r="X6" s="66">
        <f>F6+J6+L6+N6+P6+R6+T6+V6</f>
        <v>291</v>
      </c>
      <c r="Y6" s="13">
        <f>COUNTIF(D6:V6,"&gt;30")</f>
        <v>6</v>
      </c>
      <c r="Z6" s="40"/>
      <c r="AA6" s="12"/>
      <c r="AB6" s="41">
        <f>SUMIF(G6:W6, "&lt;30")+Z6+AA6</f>
        <v>121</v>
      </c>
      <c r="AC6" s="74">
        <f>AB6/Y6</f>
        <v>20.166666666666668</v>
      </c>
      <c r="AD6" s="59"/>
      <c r="AE6" s="41"/>
      <c r="AF6" s="41"/>
      <c r="AG6" s="13"/>
      <c r="AH6" s="60"/>
    </row>
    <row r="7" spans="1:34">
      <c r="A7" s="9" t="s">
        <v>13</v>
      </c>
      <c r="B7" s="10" t="s">
        <v>14</v>
      </c>
      <c r="C7" s="11">
        <f>ROUND((X7-(36*Y7))/Y7,0)</f>
        <v>11</v>
      </c>
      <c r="D7" s="52"/>
      <c r="E7" s="53"/>
      <c r="F7" s="79">
        <v>42</v>
      </c>
      <c r="G7" s="12">
        <v>25</v>
      </c>
      <c r="H7" s="52"/>
      <c r="I7" s="53"/>
      <c r="J7" s="79"/>
      <c r="K7" s="12"/>
      <c r="L7" s="80">
        <v>51</v>
      </c>
      <c r="M7" s="12">
        <v>16</v>
      </c>
      <c r="N7" s="80"/>
      <c r="O7" s="12"/>
      <c r="P7" s="81">
        <v>49</v>
      </c>
      <c r="Q7" s="12">
        <v>18</v>
      </c>
      <c r="R7" s="80">
        <v>46</v>
      </c>
      <c r="S7" s="12">
        <v>21</v>
      </c>
      <c r="T7" s="80">
        <v>45</v>
      </c>
      <c r="U7" s="12">
        <v>20</v>
      </c>
      <c r="V7" s="80">
        <v>46</v>
      </c>
      <c r="W7" s="12">
        <v>19</v>
      </c>
      <c r="X7" s="66">
        <f>F7+J7+L7+N7+P7+R7+T7+V7</f>
        <v>279</v>
      </c>
      <c r="Y7" s="13">
        <f>COUNTIF(D7:V7,"&gt;30")</f>
        <v>6</v>
      </c>
      <c r="Z7" s="40">
        <v>2</v>
      </c>
      <c r="AA7" s="12"/>
      <c r="AB7" s="41">
        <f>SUMIF(G7:W7, "&lt;30")+Z7+AA7</f>
        <v>121</v>
      </c>
      <c r="AC7" s="74">
        <f>AB7/Y7</f>
        <v>20.166666666666668</v>
      </c>
      <c r="AD7" s="59"/>
      <c r="AE7" s="41"/>
      <c r="AF7" s="41"/>
      <c r="AG7" s="13"/>
      <c r="AH7" s="60"/>
    </row>
    <row r="8" spans="1:34">
      <c r="A8" s="9" t="s">
        <v>11</v>
      </c>
      <c r="B8" s="10" t="s">
        <v>12</v>
      </c>
      <c r="C8" s="11">
        <f>ROUND((X8-(36*Y8))/Y8,0)</f>
        <v>14</v>
      </c>
      <c r="D8" s="52"/>
      <c r="E8" s="53"/>
      <c r="F8" s="14">
        <v>42</v>
      </c>
      <c r="G8" s="12">
        <v>27</v>
      </c>
      <c r="H8" s="52"/>
      <c r="I8" s="53"/>
      <c r="J8" s="14"/>
      <c r="K8" s="12"/>
      <c r="L8" s="14">
        <v>54</v>
      </c>
      <c r="M8" s="12">
        <v>15</v>
      </c>
      <c r="N8" s="14"/>
      <c r="O8" s="12"/>
      <c r="P8" s="14">
        <v>54</v>
      </c>
      <c r="Q8" s="12">
        <v>16</v>
      </c>
      <c r="R8" s="14">
        <v>53</v>
      </c>
      <c r="S8" s="12">
        <v>16</v>
      </c>
      <c r="T8" s="14"/>
      <c r="U8" s="12"/>
      <c r="V8" s="78">
        <v>46</v>
      </c>
      <c r="W8" s="12">
        <v>23</v>
      </c>
      <c r="X8" s="66">
        <f>F8+J8+L8+N8+P8+R8+T8+V8</f>
        <v>249</v>
      </c>
      <c r="Y8" s="13">
        <f>COUNTIF(D8:V8,"&gt;30")</f>
        <v>5</v>
      </c>
      <c r="Z8" s="40">
        <v>1</v>
      </c>
      <c r="AA8" s="12"/>
      <c r="AB8" s="41">
        <f>SUMIF(G8:W8, "&lt;30")+Z8+AA8</f>
        <v>98</v>
      </c>
      <c r="AC8" s="74">
        <f>AB8/Y8</f>
        <v>19.600000000000001</v>
      </c>
      <c r="AD8" s="61"/>
      <c r="AE8" s="41"/>
      <c r="AF8" s="41"/>
      <c r="AG8" s="13"/>
      <c r="AH8" s="60"/>
    </row>
    <row r="9" spans="1:34">
      <c r="A9" s="9" t="s">
        <v>35</v>
      </c>
      <c r="B9" s="10" t="s">
        <v>36</v>
      </c>
      <c r="C9" s="11">
        <v>2</v>
      </c>
      <c r="D9" s="52"/>
      <c r="E9" s="53"/>
      <c r="F9" s="17"/>
      <c r="G9" s="12"/>
      <c r="H9" s="52"/>
      <c r="I9" s="53"/>
      <c r="J9" s="17"/>
      <c r="K9" s="12"/>
      <c r="L9" s="17"/>
      <c r="M9" s="12"/>
      <c r="N9" s="17"/>
      <c r="O9" s="12"/>
      <c r="P9" s="68">
        <v>39</v>
      </c>
      <c r="Q9" s="12">
        <v>17</v>
      </c>
      <c r="R9" s="68">
        <v>38</v>
      </c>
      <c r="S9" s="12">
        <v>18</v>
      </c>
      <c r="T9" s="68"/>
      <c r="U9" s="12"/>
      <c r="V9" s="112">
        <v>37</v>
      </c>
      <c r="W9" s="12">
        <v>19</v>
      </c>
      <c r="X9" s="66">
        <f>F9+J9+L9+N9+P9+R9+T9+V9</f>
        <v>114</v>
      </c>
      <c r="Y9" s="13">
        <f>COUNTIF(D9:V9,"&gt;30")</f>
        <v>3</v>
      </c>
      <c r="Z9" s="40">
        <v>1</v>
      </c>
      <c r="AA9" s="12">
        <v>3</v>
      </c>
      <c r="AB9" s="41">
        <f>SUMIF(G9:W9, "&lt;30")+Z9+AA9</f>
        <v>58</v>
      </c>
      <c r="AC9" s="74">
        <f>AB9/Y9</f>
        <v>19.333333333333332</v>
      </c>
      <c r="AD9" s="59"/>
      <c r="AE9" s="41"/>
      <c r="AF9" s="41"/>
      <c r="AG9" s="13"/>
      <c r="AH9" s="60"/>
    </row>
    <row r="10" spans="1:34">
      <c r="A10" s="9" t="s">
        <v>33</v>
      </c>
      <c r="B10" s="10" t="s">
        <v>34</v>
      </c>
      <c r="C10" s="11">
        <f>ROUND((X10-(36*Y10))/Y10,0)</f>
        <v>12</v>
      </c>
      <c r="D10" s="52"/>
      <c r="E10" s="53"/>
      <c r="F10" s="16"/>
      <c r="G10" s="12"/>
      <c r="H10" s="52"/>
      <c r="I10" s="53"/>
      <c r="J10" s="16"/>
      <c r="K10" s="12"/>
      <c r="L10" s="16"/>
      <c r="M10" s="12"/>
      <c r="N10" s="16"/>
      <c r="O10" s="12"/>
      <c r="P10" s="42">
        <v>47</v>
      </c>
      <c r="Q10" s="12">
        <v>20</v>
      </c>
      <c r="R10" s="42">
        <v>50</v>
      </c>
      <c r="S10" s="12">
        <v>17</v>
      </c>
      <c r="T10" s="42">
        <v>46</v>
      </c>
      <c r="U10" s="12">
        <v>21</v>
      </c>
      <c r="V10" s="42">
        <v>47</v>
      </c>
      <c r="W10" s="12">
        <v>19</v>
      </c>
      <c r="X10" s="66">
        <f>F10+J10+L10+N10+P10+R10+T10+V10</f>
        <v>190</v>
      </c>
      <c r="Y10" s="13">
        <f>COUNTIF(D10:V10,"&gt;30")</f>
        <v>4</v>
      </c>
      <c r="Z10" s="40"/>
      <c r="AA10" s="12"/>
      <c r="AB10" s="41">
        <f>SUMIF(G10:W10, "&lt;30")+Z10+AA10</f>
        <v>77</v>
      </c>
      <c r="AC10" s="74">
        <f>AB10/Y10</f>
        <v>19.25</v>
      </c>
      <c r="AD10" s="113"/>
      <c r="AE10" s="41"/>
      <c r="AF10" s="41"/>
      <c r="AG10" s="13"/>
      <c r="AH10" s="60"/>
    </row>
    <row r="11" spans="1:34">
      <c r="A11" s="9" t="s">
        <v>13</v>
      </c>
      <c r="B11" s="10" t="s">
        <v>17</v>
      </c>
      <c r="C11" s="11">
        <f>ROUND((X11-(36*Y11))/Y11,0)</f>
        <v>8</v>
      </c>
      <c r="D11" s="52"/>
      <c r="E11" s="53"/>
      <c r="F11" s="70">
        <v>45</v>
      </c>
      <c r="G11" s="12">
        <v>17</v>
      </c>
      <c r="H11" s="52"/>
      <c r="I11" s="53"/>
      <c r="J11" s="70"/>
      <c r="K11" s="12"/>
      <c r="L11" s="70">
        <v>43</v>
      </c>
      <c r="M11" s="12">
        <v>19</v>
      </c>
      <c r="N11" s="15">
        <v>41</v>
      </c>
      <c r="O11" s="12">
        <v>21</v>
      </c>
      <c r="P11" s="42">
        <v>47</v>
      </c>
      <c r="Q11" s="12">
        <v>15</v>
      </c>
      <c r="R11" s="42">
        <v>42</v>
      </c>
      <c r="S11" s="12">
        <v>20</v>
      </c>
      <c r="T11" s="42">
        <v>43</v>
      </c>
      <c r="U11" s="12">
        <v>19</v>
      </c>
      <c r="V11" s="42">
        <v>44</v>
      </c>
      <c r="W11" s="12">
        <v>18</v>
      </c>
      <c r="X11" s="66">
        <f>F11+J11+L11+N11+P11+R11+T11+V11</f>
        <v>305</v>
      </c>
      <c r="Y11" s="13">
        <f>COUNTIF(D11:V11,"&gt;30")</f>
        <v>7</v>
      </c>
      <c r="Z11" s="40">
        <v>1</v>
      </c>
      <c r="AA11" s="12">
        <v>3</v>
      </c>
      <c r="AB11" s="41">
        <f>SUMIF(G11:W11, "&lt;30")+Z11+AA11</f>
        <v>133</v>
      </c>
      <c r="AC11" s="74">
        <f>AB11/Y11</f>
        <v>19</v>
      </c>
      <c r="AD11" s="59"/>
      <c r="AE11" s="41"/>
      <c r="AF11" s="41"/>
      <c r="AG11" s="13"/>
      <c r="AH11" s="60"/>
    </row>
    <row r="12" spans="1:34">
      <c r="A12" s="9" t="s">
        <v>19</v>
      </c>
      <c r="B12" s="10" t="s">
        <v>20</v>
      </c>
      <c r="C12" s="11">
        <f>ROUND((X12-(36*Y12))/Y12,0)</f>
        <v>8</v>
      </c>
      <c r="D12" s="52"/>
      <c r="E12" s="53"/>
      <c r="F12" s="14">
        <v>46</v>
      </c>
      <c r="G12" s="12">
        <v>16</v>
      </c>
      <c r="H12" s="52"/>
      <c r="I12" s="53"/>
      <c r="J12" s="14"/>
      <c r="K12" s="12"/>
      <c r="L12" s="14"/>
      <c r="M12" s="12"/>
      <c r="N12" s="14">
        <v>42</v>
      </c>
      <c r="O12" s="12">
        <v>20</v>
      </c>
      <c r="P12" s="14">
        <v>43</v>
      </c>
      <c r="Q12" s="12">
        <v>19</v>
      </c>
      <c r="R12" s="14"/>
      <c r="S12" s="12"/>
      <c r="T12" s="14"/>
      <c r="U12" s="12"/>
      <c r="V12" s="14"/>
      <c r="W12" s="12"/>
      <c r="X12" s="66">
        <f>F12+J12+L12+N12+P12+R12+T12+V12</f>
        <v>131</v>
      </c>
      <c r="Y12" s="13">
        <f>COUNTIF(D12:V12,"&gt;30")</f>
        <v>3</v>
      </c>
      <c r="Z12" s="40"/>
      <c r="AA12" s="12">
        <v>1</v>
      </c>
      <c r="AB12" s="41">
        <f>SUMIF(G12:W12, "&lt;30")+Z12+AA12</f>
        <v>56</v>
      </c>
      <c r="AC12" s="74">
        <f>AB12/Y12</f>
        <v>18.666666666666668</v>
      </c>
      <c r="AD12" s="62"/>
      <c r="AE12" s="41"/>
      <c r="AF12" s="41"/>
      <c r="AG12" s="13"/>
      <c r="AH12" s="60"/>
    </row>
    <row r="13" spans="1:34">
      <c r="A13" s="9" t="s">
        <v>18</v>
      </c>
      <c r="B13" s="10" t="s">
        <v>12</v>
      </c>
      <c r="C13" s="11">
        <v>22</v>
      </c>
      <c r="D13" s="52"/>
      <c r="E13" s="53"/>
      <c r="F13" s="14">
        <v>59</v>
      </c>
      <c r="G13" s="12">
        <v>17</v>
      </c>
      <c r="H13" s="52"/>
      <c r="I13" s="53"/>
      <c r="J13" s="14"/>
      <c r="K13" s="12"/>
      <c r="L13" s="14"/>
      <c r="M13" s="12"/>
      <c r="N13" s="14"/>
      <c r="O13" s="12"/>
      <c r="P13" s="14"/>
      <c r="Q13" s="12"/>
      <c r="R13" s="14">
        <v>55</v>
      </c>
      <c r="S13" s="12">
        <v>21</v>
      </c>
      <c r="T13" s="14"/>
      <c r="U13" s="12"/>
      <c r="V13" s="14">
        <v>59</v>
      </c>
      <c r="W13" s="12">
        <v>17</v>
      </c>
      <c r="X13" s="66">
        <f>F13+J13+L13+N13+P13+R13+T13+V13</f>
        <v>173</v>
      </c>
      <c r="Y13" s="13">
        <f>COUNTIF(D13:V13,"&gt;30")</f>
        <v>3</v>
      </c>
      <c r="Z13" s="40"/>
      <c r="AA13" s="12"/>
      <c r="AB13" s="41">
        <f>SUMIF(G13:W13, "&lt;30")+Z13+AA13</f>
        <v>55</v>
      </c>
      <c r="AC13" s="74">
        <f>AB13/Y13</f>
        <v>18.333333333333332</v>
      </c>
      <c r="AD13" s="62"/>
      <c r="AE13" s="41"/>
      <c r="AF13" s="41"/>
      <c r="AG13" s="13"/>
      <c r="AH13" s="60"/>
    </row>
    <row r="14" spans="1:34">
      <c r="A14" s="9" t="s">
        <v>26</v>
      </c>
      <c r="B14" s="10" t="s">
        <v>27</v>
      </c>
      <c r="C14" s="11">
        <f>ROUND((X14-(36*Y14))/Y14,0)</f>
        <v>8</v>
      </c>
      <c r="D14" s="52"/>
      <c r="E14" s="53"/>
      <c r="F14" s="14">
        <v>41</v>
      </c>
      <c r="G14" s="12">
        <v>21</v>
      </c>
      <c r="H14" s="52"/>
      <c r="I14" s="53"/>
      <c r="J14" s="14"/>
      <c r="K14" s="12"/>
      <c r="L14" s="14"/>
      <c r="M14" s="12"/>
      <c r="N14" s="56">
        <v>48</v>
      </c>
      <c r="O14" s="12">
        <v>14</v>
      </c>
      <c r="P14" s="42">
        <v>44</v>
      </c>
      <c r="Q14" s="12">
        <v>18</v>
      </c>
      <c r="R14" s="42"/>
      <c r="S14" s="12"/>
      <c r="T14" s="42"/>
      <c r="U14" s="12"/>
      <c r="V14" s="42"/>
      <c r="W14" s="12"/>
      <c r="X14" s="66">
        <f>F14+J14+L14+N14+P14+R14+T14+V14</f>
        <v>133</v>
      </c>
      <c r="Y14" s="13">
        <f>COUNTIF(D14:V14,"&gt;30")</f>
        <v>3</v>
      </c>
      <c r="Z14" s="40">
        <v>1</v>
      </c>
      <c r="AA14" s="12"/>
      <c r="AB14" s="41">
        <f>SUMIF(G14:W14, "&lt;30")+Z14+AA14</f>
        <v>54</v>
      </c>
      <c r="AC14" s="74">
        <f>AB14/Y14</f>
        <v>18</v>
      </c>
      <c r="AD14" s="62"/>
      <c r="AE14" s="41"/>
      <c r="AF14" s="41"/>
      <c r="AG14" s="13"/>
      <c r="AH14" s="60"/>
    </row>
    <row r="15" spans="1:34">
      <c r="A15" s="9" t="s">
        <v>31</v>
      </c>
      <c r="B15" s="10" t="s">
        <v>32</v>
      </c>
      <c r="C15" s="11">
        <f>ROUND((X15-(36*Y15))/Y15,0)</f>
        <v>15</v>
      </c>
      <c r="D15" s="52"/>
      <c r="E15" s="53"/>
      <c r="F15" s="14">
        <v>51</v>
      </c>
      <c r="G15" s="12">
        <v>18</v>
      </c>
      <c r="H15" s="52"/>
      <c r="I15" s="53"/>
      <c r="J15" s="14"/>
      <c r="K15" s="12"/>
      <c r="L15" s="14"/>
      <c r="M15" s="12"/>
      <c r="N15" s="14">
        <v>51</v>
      </c>
      <c r="O15" s="12">
        <v>18</v>
      </c>
      <c r="P15" s="14">
        <v>52</v>
      </c>
      <c r="Q15" s="12">
        <v>17</v>
      </c>
      <c r="R15" s="14"/>
      <c r="S15" s="12"/>
      <c r="T15" s="14"/>
      <c r="U15" s="12"/>
      <c r="V15" s="14"/>
      <c r="W15" s="12"/>
      <c r="X15" s="66">
        <f>F15+J15+L15+N15+P15+R15+T15+V15</f>
        <v>154</v>
      </c>
      <c r="Y15" s="13">
        <f>COUNTIF(D15:V15,"&gt;30")</f>
        <v>3</v>
      </c>
      <c r="Z15" s="40"/>
      <c r="AA15" s="12"/>
      <c r="AB15" s="41">
        <f>SUMIF(G15:W15, "&lt;30")+Z15+AA15</f>
        <v>53</v>
      </c>
      <c r="AC15" s="74">
        <f>AB15/Y15</f>
        <v>17.666666666666668</v>
      </c>
      <c r="AD15" s="62"/>
      <c r="AE15" s="41"/>
      <c r="AF15" s="41"/>
      <c r="AG15" s="13"/>
      <c r="AH15" s="60"/>
    </row>
    <row r="16" spans="1:34">
      <c r="A16" s="9" t="s">
        <v>24</v>
      </c>
      <c r="B16" s="10" t="s">
        <v>25</v>
      </c>
      <c r="C16" s="11">
        <f>ROUND((X16-(36*Y16))/Y16,0)</f>
        <v>22</v>
      </c>
      <c r="D16" s="52"/>
      <c r="E16" s="53"/>
      <c r="F16" s="15">
        <v>61</v>
      </c>
      <c r="G16" s="12">
        <v>14</v>
      </c>
      <c r="H16" s="52"/>
      <c r="I16" s="53"/>
      <c r="J16" s="15">
        <v>56</v>
      </c>
      <c r="K16" s="12">
        <v>19</v>
      </c>
      <c r="L16" s="42">
        <v>60</v>
      </c>
      <c r="M16" s="12">
        <v>15</v>
      </c>
      <c r="N16" s="42">
        <v>56</v>
      </c>
      <c r="O16" s="12">
        <v>20</v>
      </c>
      <c r="P16" s="42">
        <v>54</v>
      </c>
      <c r="Q16" s="12">
        <v>22</v>
      </c>
      <c r="R16" s="42"/>
      <c r="S16" s="12"/>
      <c r="T16" s="42">
        <v>66</v>
      </c>
      <c r="U16" s="12">
        <v>9</v>
      </c>
      <c r="V16" s="42">
        <v>55</v>
      </c>
      <c r="W16" s="12">
        <v>22</v>
      </c>
      <c r="X16" s="66">
        <f>F16+J16+L16+N16+P16+R16+T16+V16</f>
        <v>408</v>
      </c>
      <c r="Y16" s="13">
        <f>COUNTIF(D16:V16,"&gt;30")</f>
        <v>7</v>
      </c>
      <c r="Z16" s="40">
        <v>2</v>
      </c>
      <c r="AA16" s="12"/>
      <c r="AB16" s="41">
        <f>SUMIF(G16:W16, "&lt;30")+Z16+AA16</f>
        <v>123</v>
      </c>
      <c r="AC16" s="74">
        <f>AB16/Y16</f>
        <v>17.571428571428573</v>
      </c>
      <c r="AD16" s="59"/>
      <c r="AE16" s="41"/>
      <c r="AF16" s="41"/>
      <c r="AG16" s="13"/>
      <c r="AH16" s="60"/>
    </row>
    <row r="17" spans="1:34">
      <c r="A17" s="9" t="s">
        <v>29</v>
      </c>
      <c r="B17" s="10" t="s">
        <v>30</v>
      </c>
      <c r="C17" s="11">
        <f>ROUND((X17-(36*Y17))/Y17,0)</f>
        <v>11</v>
      </c>
      <c r="D17" s="52"/>
      <c r="E17" s="53"/>
      <c r="F17" s="14">
        <v>46</v>
      </c>
      <c r="G17" s="12">
        <v>18</v>
      </c>
      <c r="H17" s="52"/>
      <c r="I17" s="53"/>
      <c r="J17" s="14"/>
      <c r="K17" s="12"/>
      <c r="L17" s="14">
        <v>46</v>
      </c>
      <c r="M17" s="12">
        <v>18</v>
      </c>
      <c r="N17" s="14">
        <v>46</v>
      </c>
      <c r="O17" s="12">
        <v>18</v>
      </c>
      <c r="P17" s="14">
        <v>46</v>
      </c>
      <c r="Q17" s="12">
        <v>18</v>
      </c>
      <c r="R17" s="14">
        <v>47</v>
      </c>
      <c r="S17" s="12">
        <v>14</v>
      </c>
      <c r="T17" s="14">
        <v>52</v>
      </c>
      <c r="U17" s="12">
        <v>13</v>
      </c>
      <c r="V17" s="14"/>
      <c r="W17" s="12"/>
      <c r="X17" s="66">
        <f>F17+J17+L17+N17+P17+R17+T17+V17</f>
        <v>283</v>
      </c>
      <c r="Y17" s="13">
        <f>COUNTIF(D17:V17,"&gt;30")</f>
        <v>6</v>
      </c>
      <c r="Z17" s="43"/>
      <c r="AA17" s="33"/>
      <c r="AB17" s="41">
        <f>SUMIF(G17:W17, "&lt;30")+Z17+AA17</f>
        <v>99</v>
      </c>
      <c r="AC17" s="74">
        <f>AB17/Y17</f>
        <v>16.5</v>
      </c>
      <c r="AD17" s="62"/>
      <c r="AE17" s="13"/>
      <c r="AF17" s="13"/>
      <c r="AG17" s="13"/>
      <c r="AH17" s="60"/>
    </row>
    <row r="18" spans="1:34">
      <c r="A18" s="9" t="s">
        <v>21</v>
      </c>
      <c r="B18" s="10" t="s">
        <v>16</v>
      </c>
      <c r="C18" s="11">
        <f>ROUND((X18-(36*Y18))/Y18,0)</f>
        <v>19</v>
      </c>
      <c r="D18" s="52"/>
      <c r="E18" s="53"/>
      <c r="F18" s="14">
        <v>55</v>
      </c>
      <c r="G18" s="12">
        <v>16</v>
      </c>
      <c r="H18" s="52"/>
      <c r="I18" s="53"/>
      <c r="J18" s="14"/>
      <c r="K18" s="12"/>
      <c r="L18" s="14">
        <v>56</v>
      </c>
      <c r="M18" s="12">
        <v>15</v>
      </c>
      <c r="N18" s="14">
        <v>57</v>
      </c>
      <c r="O18" s="12">
        <v>14</v>
      </c>
      <c r="P18" s="14"/>
      <c r="Q18" s="12"/>
      <c r="R18" s="14"/>
      <c r="S18" s="12"/>
      <c r="T18" s="78">
        <v>49</v>
      </c>
      <c r="U18" s="12">
        <v>22</v>
      </c>
      <c r="V18" s="78">
        <v>58</v>
      </c>
      <c r="W18" s="12">
        <v>14</v>
      </c>
      <c r="X18" s="66">
        <f>F18+J18+L18+N18+P18+R18+T18+V18</f>
        <v>275</v>
      </c>
      <c r="Y18" s="13">
        <f>COUNTIF(D18:V18,"&gt;30")</f>
        <v>5</v>
      </c>
      <c r="Z18" s="40">
        <v>1</v>
      </c>
      <c r="AA18" s="12"/>
      <c r="AB18" s="41">
        <f>SUMIF(G18:W18, "&lt;30")+Z18+AA18</f>
        <v>82</v>
      </c>
      <c r="AC18" s="74">
        <f>AB18/Y18</f>
        <v>16.399999999999999</v>
      </c>
      <c r="AD18" s="62"/>
      <c r="AE18" s="41"/>
      <c r="AF18" s="41"/>
      <c r="AG18" s="13"/>
      <c r="AH18" s="60"/>
    </row>
    <row r="19" spans="1:34">
      <c r="A19" s="9" t="s">
        <v>22</v>
      </c>
      <c r="B19" s="10" t="s">
        <v>23</v>
      </c>
      <c r="C19" s="11">
        <v>18</v>
      </c>
      <c r="D19" s="52"/>
      <c r="E19" s="53"/>
      <c r="F19" s="14">
        <v>56</v>
      </c>
      <c r="G19" s="12">
        <v>16</v>
      </c>
      <c r="H19" s="52"/>
      <c r="I19" s="53"/>
      <c r="J19" s="14"/>
      <c r="K19" s="12"/>
      <c r="L19" s="14"/>
      <c r="M19" s="12"/>
      <c r="N19" s="14"/>
      <c r="O19" s="12"/>
      <c r="P19" s="14"/>
      <c r="Q19" s="12"/>
      <c r="R19" s="14"/>
      <c r="S19" s="12"/>
      <c r="T19" s="14"/>
      <c r="U19" s="12"/>
      <c r="V19" s="14"/>
      <c r="W19" s="12"/>
      <c r="X19" s="66">
        <f>F19+J19+L19+N19+P19+R19+T19+V19</f>
        <v>56</v>
      </c>
      <c r="Y19" s="13">
        <f>COUNTIF(D19:V19,"&gt;30")</f>
        <v>1</v>
      </c>
      <c r="Z19" s="40"/>
      <c r="AA19" s="12"/>
      <c r="AB19" s="41">
        <f>SUMIF(G19:W19, "&lt;30")+Z19+AA19</f>
        <v>16</v>
      </c>
      <c r="AC19" s="74">
        <f>AB19/Y19</f>
        <v>16</v>
      </c>
      <c r="AD19" s="62"/>
      <c r="AE19" s="41"/>
      <c r="AF19" s="41"/>
      <c r="AG19" s="13"/>
      <c r="AH19" s="60"/>
    </row>
    <row r="20" spans="1:34">
      <c r="A20" s="9" t="s">
        <v>31</v>
      </c>
      <c r="B20" s="10" t="s">
        <v>39</v>
      </c>
      <c r="C20" s="11">
        <f>ROUND((X20-(36*Y20))/Y20,0)</f>
        <v>14</v>
      </c>
      <c r="D20" s="52"/>
      <c r="E20" s="53"/>
      <c r="F20" s="14"/>
      <c r="G20" s="12"/>
      <c r="H20" s="52"/>
      <c r="I20" s="53"/>
      <c r="J20" s="14"/>
      <c r="K20" s="12"/>
      <c r="L20" s="14"/>
      <c r="M20" s="12"/>
      <c r="N20" s="14"/>
      <c r="O20" s="12"/>
      <c r="P20" s="14">
        <v>48</v>
      </c>
      <c r="Q20" s="12">
        <v>18</v>
      </c>
      <c r="R20" s="14">
        <v>51</v>
      </c>
      <c r="S20" s="12">
        <v>14</v>
      </c>
      <c r="T20" s="14">
        <v>51</v>
      </c>
      <c r="U20" s="12">
        <v>14</v>
      </c>
      <c r="V20" s="14"/>
      <c r="W20" s="12"/>
      <c r="X20" s="66">
        <f>F20+J20+L20+N20+P20+R20+T20+V20</f>
        <v>150</v>
      </c>
      <c r="Y20" s="13">
        <f>COUNTIF(D20:V20,"&gt;30")</f>
        <v>3</v>
      </c>
      <c r="Z20" s="40"/>
      <c r="AA20" s="12"/>
      <c r="AB20" s="41">
        <f>SUMIF(G20:W20, "&lt;30")+Z20+AA20</f>
        <v>46</v>
      </c>
      <c r="AC20" s="74">
        <f>AB20/Y20</f>
        <v>15.333333333333334</v>
      </c>
      <c r="AD20" s="59"/>
      <c r="AE20" s="41"/>
      <c r="AF20" s="41"/>
      <c r="AG20" s="13"/>
      <c r="AH20" s="60"/>
    </row>
    <row r="21" spans="1:34">
      <c r="A21" s="9" t="s">
        <v>49</v>
      </c>
      <c r="B21" s="10" t="s">
        <v>50</v>
      </c>
      <c r="C21" s="11" t="s">
        <v>28</v>
      </c>
      <c r="D21" s="52"/>
      <c r="E21" s="53"/>
      <c r="F21" s="17"/>
      <c r="G21" s="12"/>
      <c r="H21" s="52"/>
      <c r="I21" s="53"/>
      <c r="J21" s="17"/>
      <c r="K21" s="12"/>
      <c r="L21" s="49">
        <v>50</v>
      </c>
      <c r="M21" s="12"/>
      <c r="N21" s="49"/>
      <c r="O21" s="12"/>
      <c r="P21" s="49"/>
      <c r="Q21" s="12"/>
      <c r="R21" s="49"/>
      <c r="S21" s="12"/>
      <c r="T21" s="49"/>
      <c r="U21" s="12"/>
      <c r="V21" s="49"/>
      <c r="W21" s="12"/>
      <c r="X21" s="66">
        <f>F21+J21+L21+N21+P21+R21+T21+V21</f>
        <v>50</v>
      </c>
      <c r="Y21" s="13">
        <f>COUNTIF(D21:V21,"&gt;30")</f>
        <v>1</v>
      </c>
      <c r="Z21" s="40">
        <v>1</v>
      </c>
      <c r="AA21" s="12"/>
      <c r="AB21" s="41">
        <f>SUMIF(G21:W21, "&lt;30")+Z21+AA21</f>
        <v>1</v>
      </c>
      <c r="AC21" s="74">
        <f>AB21/Y21</f>
        <v>1</v>
      </c>
      <c r="AD21" s="59"/>
      <c r="AE21" s="41"/>
      <c r="AF21" s="41"/>
      <c r="AG21" s="13"/>
      <c r="AH21" s="60"/>
    </row>
    <row r="22" spans="1:34" ht="17" thickBot="1">
      <c r="A22" s="18" t="s">
        <v>56</v>
      </c>
      <c r="B22" s="19" t="s">
        <v>57</v>
      </c>
      <c r="C22" s="20" t="s">
        <v>28</v>
      </c>
      <c r="D22" s="54"/>
      <c r="E22" s="55"/>
      <c r="F22" s="69"/>
      <c r="G22" s="21"/>
      <c r="H22" s="54"/>
      <c r="I22" s="55"/>
      <c r="J22" s="69"/>
      <c r="K22" s="21"/>
      <c r="L22" s="69"/>
      <c r="M22" s="21"/>
      <c r="N22" s="71">
        <v>45</v>
      </c>
      <c r="O22" s="21"/>
      <c r="P22" s="71">
        <v>43</v>
      </c>
      <c r="Q22" s="21"/>
      <c r="R22" s="71"/>
      <c r="S22" s="21"/>
      <c r="T22" s="71"/>
      <c r="U22" s="21"/>
      <c r="V22" s="71"/>
      <c r="W22" s="21"/>
      <c r="X22" s="67">
        <f>F22+J22+L22+N22+P22+R22+T22+V22</f>
        <v>88</v>
      </c>
      <c r="Y22" s="22">
        <f>COUNTIF(D22:V22,"&gt;30")</f>
        <v>2</v>
      </c>
      <c r="Z22" s="44"/>
      <c r="AA22" s="21"/>
      <c r="AB22" s="45">
        <f>SUMIF(G22:W22, "&lt;30")+Z22+AA22</f>
        <v>0</v>
      </c>
      <c r="AC22" s="75">
        <f>AB22/Y22</f>
        <v>0</v>
      </c>
      <c r="AD22" s="63"/>
      <c r="AE22" s="45"/>
      <c r="AF22" s="45"/>
      <c r="AG22" s="22"/>
      <c r="AH22" s="64"/>
    </row>
    <row r="23" spans="1:34" s="23" customFormat="1" ht="17" thickBot="1">
      <c r="A23" s="34"/>
      <c r="B23" s="35"/>
      <c r="C23" s="35"/>
      <c r="D23" s="36"/>
      <c r="E23" s="36"/>
      <c r="F23" s="36">
        <f>AVERAGEIF(F4:F22,"&gt;0")</f>
        <v>49.75</v>
      </c>
      <c r="G23" s="36"/>
      <c r="H23" s="36"/>
      <c r="I23" s="36"/>
      <c r="J23" s="36">
        <f>AVERAGEIF(J4:J22,"&gt;0")</f>
        <v>54</v>
      </c>
      <c r="K23" s="36"/>
      <c r="L23" s="36">
        <f>AVERAGEIF(L4:L22,"&gt;0")</f>
        <v>51.428571428571431</v>
      </c>
      <c r="M23" s="36"/>
      <c r="N23" s="36">
        <f>AVERAGEIF(N4:N22,"&gt;0")</f>
        <v>48.9</v>
      </c>
      <c r="O23" s="36"/>
      <c r="P23" s="36">
        <f>AVERAGEIF(P4:P22,"&gt;0")</f>
        <v>46.785714285714285</v>
      </c>
      <c r="Q23" s="36"/>
      <c r="R23" s="36">
        <f>AVERAGEIF(R4:R22,"&gt;0")</f>
        <v>48.272727272727273</v>
      </c>
      <c r="S23" s="36"/>
      <c r="T23" s="36">
        <f>AVERAGEIF(T4:T22,"&gt;0")</f>
        <v>50.333333333333336</v>
      </c>
      <c r="U23" s="36"/>
      <c r="V23" s="36">
        <f>AVERAGEIF(V4:V22,"&gt;0")</f>
        <v>49</v>
      </c>
      <c r="W23" s="36"/>
      <c r="X23" s="37"/>
    </row>
    <row r="24" spans="1:34">
      <c r="C24" s="24"/>
      <c r="X24" s="25"/>
      <c r="Y24" s="25"/>
      <c r="Z24" s="26"/>
      <c r="AA24" s="26"/>
      <c r="AB24" s="25"/>
      <c r="AC24" s="27"/>
    </row>
    <row r="25" spans="1:34">
      <c r="C25" s="46" t="s">
        <v>42</v>
      </c>
      <c r="D25" s="28" t="s">
        <v>51</v>
      </c>
      <c r="F25" s="28"/>
      <c r="H25" s="28"/>
      <c r="J25" s="28"/>
      <c r="L25" s="28"/>
      <c r="N25" s="28"/>
      <c r="P25" s="28"/>
      <c r="R25" s="28"/>
      <c r="T25" s="28"/>
      <c r="V25" s="28"/>
    </row>
    <row r="26" spans="1:34">
      <c r="C26" s="47" t="s">
        <v>43</v>
      </c>
      <c r="D26" s="29" t="s">
        <v>52</v>
      </c>
      <c r="F26" s="29"/>
      <c r="H26" s="29"/>
      <c r="J26" s="29"/>
      <c r="L26" s="29"/>
      <c r="N26" s="29"/>
      <c r="P26" s="29"/>
      <c r="R26" s="29"/>
      <c r="T26" s="29"/>
      <c r="V26" s="29"/>
      <c r="X26" s="30"/>
    </row>
    <row r="27" spans="1:34">
      <c r="C27" s="48" t="s">
        <v>47</v>
      </c>
      <c r="D27" s="31" t="s">
        <v>53</v>
      </c>
      <c r="E27" s="32"/>
      <c r="F27" s="31"/>
      <c r="G27" s="32"/>
      <c r="H27" s="31"/>
      <c r="I27" s="32"/>
      <c r="J27" s="31"/>
      <c r="K27" s="32"/>
      <c r="L27" s="31"/>
      <c r="M27" s="32"/>
      <c r="N27" s="31"/>
      <c r="O27" s="32"/>
      <c r="P27" s="31"/>
      <c r="Q27" s="32"/>
      <c r="R27" s="31"/>
      <c r="S27" s="32"/>
      <c r="T27" s="31"/>
      <c r="U27" s="32"/>
      <c r="V27" s="31"/>
      <c r="W27" s="32"/>
    </row>
  </sheetData>
  <sortState xmlns:xlrd2="http://schemas.microsoft.com/office/spreadsheetml/2017/richdata2" ref="A4:AH24">
    <sortCondition descending="1" ref="AC4:AC24"/>
    <sortCondition descending="1" ref="X4:X24"/>
  </sortState>
  <mergeCells count="35">
    <mergeCell ref="A1:B3"/>
    <mergeCell ref="C1:C3"/>
    <mergeCell ref="D1:E1"/>
    <mergeCell ref="D2:E2"/>
    <mergeCell ref="F1:G1"/>
    <mergeCell ref="F2:G2"/>
    <mergeCell ref="H1:I1"/>
    <mergeCell ref="H2:I2"/>
    <mergeCell ref="J1:K1"/>
    <mergeCell ref="AB2:AB3"/>
    <mergeCell ref="AC2:AC3"/>
    <mergeCell ref="L1:M1"/>
    <mergeCell ref="L2:M2"/>
    <mergeCell ref="Z2:Z3"/>
    <mergeCell ref="AA2:AA3"/>
    <mergeCell ref="J2:K2"/>
    <mergeCell ref="Y2:Y3"/>
    <mergeCell ref="N1:O1"/>
    <mergeCell ref="X1:X3"/>
    <mergeCell ref="Y1:AC1"/>
    <mergeCell ref="N2:O2"/>
    <mergeCell ref="P1:Q1"/>
    <mergeCell ref="P2:Q2"/>
    <mergeCell ref="AD1:AH1"/>
    <mergeCell ref="AD2:AD3"/>
    <mergeCell ref="AE2:AE3"/>
    <mergeCell ref="AF2:AF3"/>
    <mergeCell ref="AG2:AG3"/>
    <mergeCell ref="AH2:AH3"/>
    <mergeCell ref="R1:S1"/>
    <mergeCell ref="R2:S2"/>
    <mergeCell ref="T1:U1"/>
    <mergeCell ref="T2:U2"/>
    <mergeCell ref="V1:W1"/>
    <mergeCell ref="V2:W2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2025-07-08T23:48:35Z</cp:lastPrinted>
  <dcterms:created xsi:type="dcterms:W3CDTF">2025-05-15T01:18:57Z</dcterms:created>
  <dcterms:modified xsi:type="dcterms:W3CDTF">2025-07-08T23:51:19Z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