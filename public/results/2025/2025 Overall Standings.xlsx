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32126D39-CE49-184A-9648-86A3A1F6E622}" xr6:coauthVersionLast="47" xr6:coauthVersionMax="47" xr10:uidLastSave="{00000000-0000-0000-0000-000000000000}"/>
  <bookViews>
    <workbookView xWindow="10760" yWindow="3400" windowWidth="27640" windowHeight="169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F21" i="1"/>
  <c r="P20" i="1"/>
  <c r="P19" i="1"/>
  <c r="P18" i="1"/>
  <c r="L18" i="1"/>
  <c r="P17" i="1"/>
  <c r="L17" i="1"/>
  <c r="P16" i="1"/>
  <c r="L16" i="1"/>
  <c r="P15" i="1"/>
  <c r="P14" i="1"/>
  <c r="P13" i="1"/>
  <c r="Q13" i="1" s="1"/>
  <c r="L13" i="1"/>
  <c r="P12" i="1"/>
  <c r="Q12" i="1" s="1"/>
  <c r="L12" i="1"/>
  <c r="P11" i="1"/>
  <c r="Q11" i="1" s="1"/>
  <c r="L11" i="1"/>
  <c r="P10" i="1"/>
  <c r="Q10" i="1" s="1"/>
  <c r="L10" i="1"/>
  <c r="P9" i="1"/>
  <c r="Q9" i="1" s="1"/>
  <c r="L9" i="1"/>
  <c r="P8" i="1"/>
  <c r="Q8" i="1" s="1"/>
  <c r="L8" i="1"/>
  <c r="P7" i="1"/>
  <c r="Q7" i="1" s="1"/>
  <c r="L7" i="1"/>
  <c r="P6" i="1"/>
  <c r="Q6" i="1" s="1"/>
  <c r="L6" i="1"/>
  <c r="P5" i="1"/>
  <c r="Q5" i="1" s="1"/>
  <c r="L5" i="1"/>
  <c r="Q4" i="1"/>
  <c r="P4" i="1"/>
  <c r="L4" i="1"/>
</calcChain>
</file>

<file path=xl/sharedStrings.xml><?xml version="1.0" encoding="utf-8"?>
<sst xmlns="http://schemas.openxmlformats.org/spreadsheetml/2006/main" count="63" uniqueCount="50">
  <si>
    <t>PLAYERS</t>
  </si>
  <si>
    <t>9-HOLE 
HANDICAP (from 2024)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</si>
  <si>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</si>
  <si>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</si>
  <si>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</si>
  <si>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</si>
  <si>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</si>
  <si>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</si>
  <si>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</si>
  <si>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</si>
  <si>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</si>
  <si>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</si>
  <si>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</si>
  <si>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</si>
  <si>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</si>
  <si>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</si>
  <si>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</si>
  <si>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</si>
  <si>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</si>
  <si>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</si>
  <si>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</si>
  <si>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</si>
  <si>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</si>
  <si>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</si>
  <si>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</si>
  <si>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</si>
  <si>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</si>
  <si>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</si>
  <si>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</si>
  <si>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</si>
  <si>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</si>
  <si>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</si>
  <si>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</si>
  <si>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</si>
  <si>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</si>
  <si>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</si>
  <si>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</si>
  <si>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</si>
  <si>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</si>
  <si>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</si>
  <si>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</si>
  <si>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</si>
  <si>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</si>
  <si>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</si>
  <si>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</si>
  <si>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</si>
  <si>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RAIN OUT</t>
  </si>
  <si>
    <t>WEEK 3</t>
  </si>
  <si>
    <t>WEEK 4</t>
  </si>
  <si>
    <t>Closest 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</si>
</sst>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1" fontId="5" fillId="0" borderId="27" xfId="0" applyNumberFormat="1" applyFont="1" applyBorder="1" applyAlignment="1">
      <alignment horizont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0" fontId="0" fillId="0" borderId="23" xfId="0" applyBorder="1" applyAlignment="1">
      <alignment horizontal="center" vertical="center"/>
    </xf>
    <xf numFmtId="1" fontId="12" fillId="3" borderId="1" xfId="0" applyNumberFormat="1" applyFont="1" applyFill="1" applyBorder="1" applyAlignment="1">
      <alignment horizontal="center" vertical="center" textRotation="90"/>
    </xf>
    <xf numFmtId="1" fontId="12" fillId="3" borderId="2" xfId="0" applyNumberFormat="1" applyFont="1" applyFill="1" applyBorder="1" applyAlignment="1">
      <alignment horizontal="center" vertical="center" textRotation="90"/>
    </xf>
    <xf numFmtId="1" fontId="12" fillId="3" borderId="9" xfId="0" applyNumberFormat="1" applyFont="1" applyFill="1" applyBorder="1" applyAlignment="1">
      <alignment horizontal="center" vertical="center" textRotation="90"/>
    </xf>
    <xf numFmtId="1" fontId="12" fillId="3" borderId="10" xfId="0" applyNumberFormat="1" applyFont="1" applyFill="1" applyBorder="1" applyAlignment="1">
      <alignment horizontal="center" vertical="center" textRotation="90"/>
    </xf>
    <xf numFmtId="1" fontId="12" fillId="3" borderId="18" xfId="0" applyNumberFormat="1" applyFont="1" applyFill="1" applyBorder="1" applyAlignment="1">
      <alignment horizontal="center" vertical="center" textRotation="90"/>
    </xf>
    <xf numFmtId="1" fontId="12" fillId="3" borderId="19" xfId="0" applyNumberFormat="1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1" fontId="13" fillId="0" borderId="27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Q25"/>
  <sheetViews>
    <sheetView tabSelected="1" workbookViewId="0">
      <selection activeCell="S17" sqref="S17"/>
    </sheetView>
  </sheetViews>
  <sheetFormatPr baseColWidth="10" defaultRowHeight="16" x14ac:dyDescent="0.2"/>
  <cols>
    <col min="1" max="1" width="8.83203125" customWidth="1"/>
    <col min="2" max="2" width="8.33203125" customWidth="1"/>
    <col min="3" max="3" width="12.33203125" customWidth="1"/>
    <col min="4" max="5" width="5.83203125" hidden="1" customWidth="1"/>
    <col min="6" max="11" width="5.83203125" customWidth="1"/>
    <col min="12" max="16" width="6.83203125" customWidth="1"/>
    <col min="17" max="17" width="10.6640625" customWidth="1"/>
  </cols>
  <sheetData>
    <row r="1" spans="1:17" ht="17" customHeight="1" thickBot="1" x14ac:dyDescent="0.25">
      <c r="A1" s="70" t="s">
        <v>0</v>
      </c>
      <c r="B1" s="71"/>
      <c r="C1" s="76" t="s">
        <v>1</v>
      </c>
      <c r="D1" s="78" t="s">
        <v>2</v>
      </c>
      <c r="E1" s="79"/>
      <c r="F1" s="78" t="s">
        <v>45</v>
      </c>
      <c r="G1" s="79"/>
      <c r="H1" s="78" t="s">
        <v>47</v>
      </c>
      <c r="I1" s="79"/>
      <c r="J1" s="78" t="s">
        <v>48</v>
      </c>
      <c r="K1" s="79"/>
      <c r="L1" s="57" t="s">
        <v>3</v>
      </c>
      <c r="M1" s="59" t="s">
        <v>4</v>
      </c>
      <c r="N1" s="60"/>
      <c r="O1" s="60"/>
      <c r="P1" s="60"/>
      <c r="Q1" s="61"/>
    </row>
    <row r="2" spans="1:17" ht="16" customHeight="1" x14ac:dyDescent="0.2">
      <c r="A2" s="72"/>
      <c r="B2" s="73"/>
      <c r="C2" s="77"/>
      <c r="D2" s="62">
        <v>45782</v>
      </c>
      <c r="E2" s="63"/>
      <c r="F2" s="62">
        <v>45789</v>
      </c>
      <c r="G2" s="63"/>
      <c r="H2" s="62">
        <v>45796</v>
      </c>
      <c r="I2" s="63"/>
      <c r="J2" s="62">
        <v>45803</v>
      </c>
      <c r="K2" s="63"/>
      <c r="L2" s="58"/>
      <c r="M2" s="68" t="s">
        <v>5</v>
      </c>
      <c r="N2" s="64" t="s">
        <v>6</v>
      </c>
      <c r="O2" s="66" t="s">
        <v>7</v>
      </c>
      <c r="P2" s="68" t="s">
        <v>8</v>
      </c>
      <c r="Q2" s="81" t="s">
        <v>9</v>
      </c>
    </row>
    <row r="3" spans="1:17" ht="17" thickBot="1" x14ac:dyDescent="0.25">
      <c r="A3" s="74"/>
      <c r="B3" s="75"/>
      <c r="C3" s="77"/>
      <c r="D3" s="1" t="s">
        <v>10</v>
      </c>
      <c r="E3" s="2" t="s">
        <v>11</v>
      </c>
      <c r="F3" s="1" t="s">
        <v>10</v>
      </c>
      <c r="G3" s="2" t="s">
        <v>11</v>
      </c>
      <c r="H3" s="1" t="s">
        <v>10</v>
      </c>
      <c r="I3" s="2" t="s">
        <v>11</v>
      </c>
      <c r="J3" s="1" t="s">
        <v>10</v>
      </c>
      <c r="K3" s="2" t="s">
        <v>11</v>
      </c>
      <c r="L3" s="58"/>
      <c r="M3" s="80"/>
      <c r="N3" s="65"/>
      <c r="O3" s="67"/>
      <c r="P3" s="69"/>
      <c r="Q3" s="82"/>
    </row>
    <row r="4" spans="1:17" ht="16" customHeight="1" x14ac:dyDescent="0.2">
      <c r="A4" s="3" t="s">
        <v>12</v>
      </c>
      <c r="B4" s="4" t="s">
        <v>13</v>
      </c>
      <c r="C4" s="5">
        <v>15</v>
      </c>
      <c r="D4" s="51" t="s">
        <v>46</v>
      </c>
      <c r="E4" s="52"/>
      <c r="F4" s="6">
        <v>42</v>
      </c>
      <c r="G4" s="7">
        <v>27</v>
      </c>
      <c r="H4" s="51" t="s">
        <v>46</v>
      </c>
      <c r="I4" s="52"/>
      <c r="J4" s="6"/>
      <c r="K4" s="7"/>
      <c r="L4" s="8">
        <f t="shared" ref="L4:L13" si="0">F4+J4</f>
        <v>42</v>
      </c>
      <c r="M4" s="47">
        <v>1</v>
      </c>
      <c r="N4" s="9"/>
      <c r="O4" s="7"/>
      <c r="P4" s="8">
        <f t="shared" ref="P4:P20" si="1">G4+K4+N4+O4</f>
        <v>27</v>
      </c>
      <c r="Q4" s="40">
        <f t="shared" ref="Q4:Q13" si="2">P4/M4</f>
        <v>27</v>
      </c>
    </row>
    <row r="5" spans="1:17" x14ac:dyDescent="0.2">
      <c r="A5" s="10" t="s">
        <v>14</v>
      </c>
      <c r="B5" s="11" t="s">
        <v>15</v>
      </c>
      <c r="C5" s="12">
        <v>13</v>
      </c>
      <c r="D5" s="53"/>
      <c r="E5" s="54"/>
      <c r="F5" s="83">
        <v>42</v>
      </c>
      <c r="G5" s="14">
        <v>25</v>
      </c>
      <c r="H5" s="53"/>
      <c r="I5" s="54"/>
      <c r="J5" s="13"/>
      <c r="K5" s="14"/>
      <c r="L5" s="15">
        <f t="shared" si="0"/>
        <v>42</v>
      </c>
      <c r="M5" s="48">
        <v>1</v>
      </c>
      <c r="N5" s="16">
        <v>1</v>
      </c>
      <c r="O5" s="14"/>
      <c r="P5" s="15">
        <f t="shared" si="1"/>
        <v>26</v>
      </c>
      <c r="Q5" s="41">
        <f t="shared" si="2"/>
        <v>26</v>
      </c>
    </row>
    <row r="6" spans="1:17" x14ac:dyDescent="0.2">
      <c r="A6" s="10" t="s">
        <v>16</v>
      </c>
      <c r="B6" s="11" t="s">
        <v>17</v>
      </c>
      <c r="C6" s="12">
        <v>22</v>
      </c>
      <c r="D6" s="53"/>
      <c r="E6" s="54"/>
      <c r="F6" s="17">
        <v>53</v>
      </c>
      <c r="G6" s="14">
        <v>23</v>
      </c>
      <c r="H6" s="53"/>
      <c r="I6" s="54"/>
      <c r="J6" s="17"/>
      <c r="K6" s="14"/>
      <c r="L6" s="15">
        <f t="shared" si="0"/>
        <v>53</v>
      </c>
      <c r="M6" s="48">
        <v>1</v>
      </c>
      <c r="N6" s="16"/>
      <c r="O6" s="14"/>
      <c r="P6" s="15">
        <f t="shared" si="1"/>
        <v>23</v>
      </c>
      <c r="Q6" s="41">
        <f t="shared" si="2"/>
        <v>23</v>
      </c>
    </row>
    <row r="7" spans="1:17" x14ac:dyDescent="0.2">
      <c r="A7" s="10" t="s">
        <v>14</v>
      </c>
      <c r="B7" s="11" t="s">
        <v>18</v>
      </c>
      <c r="C7" s="12">
        <v>8</v>
      </c>
      <c r="D7" s="53"/>
      <c r="E7" s="54"/>
      <c r="F7" s="18">
        <v>45</v>
      </c>
      <c r="G7" s="14">
        <v>17</v>
      </c>
      <c r="H7" s="53"/>
      <c r="I7" s="54"/>
      <c r="J7" s="18"/>
      <c r="K7" s="14"/>
      <c r="L7" s="15">
        <f t="shared" si="0"/>
        <v>45</v>
      </c>
      <c r="M7" s="48">
        <v>1</v>
      </c>
      <c r="N7" s="16"/>
      <c r="O7" s="14">
        <v>1</v>
      </c>
      <c r="P7" s="15">
        <f t="shared" si="1"/>
        <v>18</v>
      </c>
      <c r="Q7" s="41">
        <f t="shared" si="2"/>
        <v>18</v>
      </c>
    </row>
    <row r="8" spans="1:17" x14ac:dyDescent="0.2">
      <c r="A8" s="10" t="s">
        <v>25</v>
      </c>
      <c r="B8" s="11" t="s">
        <v>26</v>
      </c>
      <c r="C8" s="12">
        <v>21</v>
      </c>
      <c r="D8" s="53"/>
      <c r="E8" s="54"/>
      <c r="F8" s="19">
        <v>61</v>
      </c>
      <c r="G8" s="14">
        <v>14</v>
      </c>
      <c r="H8" s="53"/>
      <c r="I8" s="54"/>
      <c r="J8" s="19">
        <v>56</v>
      </c>
      <c r="K8" s="14">
        <v>19</v>
      </c>
      <c r="L8" s="15">
        <f t="shared" si="0"/>
        <v>117</v>
      </c>
      <c r="M8" s="48">
        <v>2</v>
      </c>
      <c r="N8" s="16">
        <v>2</v>
      </c>
      <c r="O8" s="14"/>
      <c r="P8" s="15">
        <f t="shared" si="1"/>
        <v>35</v>
      </c>
      <c r="Q8" s="41">
        <f t="shared" si="2"/>
        <v>17.5</v>
      </c>
    </row>
    <row r="9" spans="1:17" x14ac:dyDescent="0.2">
      <c r="A9" s="10" t="s">
        <v>19</v>
      </c>
      <c r="B9" s="11" t="s">
        <v>13</v>
      </c>
      <c r="C9" s="12">
        <v>22</v>
      </c>
      <c r="D9" s="53"/>
      <c r="E9" s="54"/>
      <c r="F9" s="17">
        <v>59</v>
      </c>
      <c r="G9" s="14">
        <v>17</v>
      </c>
      <c r="H9" s="53"/>
      <c r="I9" s="54"/>
      <c r="J9" s="17"/>
      <c r="K9" s="14"/>
      <c r="L9" s="15">
        <f t="shared" si="0"/>
        <v>59</v>
      </c>
      <c r="M9" s="48">
        <v>1</v>
      </c>
      <c r="N9" s="16"/>
      <c r="O9" s="14"/>
      <c r="P9" s="15">
        <f t="shared" si="1"/>
        <v>17</v>
      </c>
      <c r="Q9" s="41">
        <f t="shared" si="2"/>
        <v>17</v>
      </c>
    </row>
    <row r="10" spans="1:17" x14ac:dyDescent="0.2">
      <c r="A10" s="10" t="s">
        <v>41</v>
      </c>
      <c r="B10" s="11" t="s">
        <v>42</v>
      </c>
      <c r="C10" s="12">
        <v>15</v>
      </c>
      <c r="D10" s="53"/>
      <c r="E10" s="54"/>
      <c r="F10" s="17"/>
      <c r="G10" s="14"/>
      <c r="H10" s="53"/>
      <c r="I10" s="54"/>
      <c r="J10" s="17">
        <v>52</v>
      </c>
      <c r="K10" s="14">
        <v>17</v>
      </c>
      <c r="L10" s="15">
        <f t="shared" si="0"/>
        <v>52</v>
      </c>
      <c r="M10" s="48">
        <v>1</v>
      </c>
      <c r="N10" s="16"/>
      <c r="O10" s="14"/>
      <c r="P10" s="15">
        <f t="shared" si="1"/>
        <v>17</v>
      </c>
      <c r="Q10" s="41">
        <f t="shared" si="2"/>
        <v>17</v>
      </c>
    </row>
    <row r="11" spans="1:17" x14ac:dyDescent="0.2">
      <c r="A11" s="10" t="s">
        <v>23</v>
      </c>
      <c r="B11" s="11" t="s">
        <v>24</v>
      </c>
      <c r="C11" s="12">
        <v>18</v>
      </c>
      <c r="D11" s="53"/>
      <c r="E11" s="54"/>
      <c r="F11" s="17">
        <v>56</v>
      </c>
      <c r="G11" s="14">
        <v>16</v>
      </c>
      <c r="H11" s="53"/>
      <c r="I11" s="54"/>
      <c r="J11" s="17"/>
      <c r="K11" s="14"/>
      <c r="L11" s="15">
        <f t="shared" si="0"/>
        <v>56</v>
      </c>
      <c r="M11" s="48">
        <v>1</v>
      </c>
      <c r="N11" s="16"/>
      <c r="O11" s="14"/>
      <c r="P11" s="15">
        <f t="shared" si="1"/>
        <v>16</v>
      </c>
      <c r="Q11" s="41">
        <f t="shared" si="2"/>
        <v>16</v>
      </c>
    </row>
    <row r="12" spans="1:17" x14ac:dyDescent="0.2">
      <c r="A12" s="10" t="s">
        <v>20</v>
      </c>
      <c r="B12" s="11" t="s">
        <v>21</v>
      </c>
      <c r="C12" s="12">
        <v>8</v>
      </c>
      <c r="D12" s="53"/>
      <c r="E12" s="54"/>
      <c r="F12" s="17">
        <v>46</v>
      </c>
      <c r="G12" s="14">
        <v>16</v>
      </c>
      <c r="H12" s="53"/>
      <c r="I12" s="54"/>
      <c r="J12" s="17"/>
      <c r="K12" s="14"/>
      <c r="L12" s="15">
        <f t="shared" si="0"/>
        <v>46</v>
      </c>
      <c r="M12" s="48">
        <v>1</v>
      </c>
      <c r="N12" s="16"/>
      <c r="O12" s="14"/>
      <c r="P12" s="15">
        <f t="shared" si="1"/>
        <v>16</v>
      </c>
      <c r="Q12" s="41">
        <f t="shared" si="2"/>
        <v>16</v>
      </c>
    </row>
    <row r="13" spans="1:17" x14ac:dyDescent="0.2">
      <c r="A13" s="10" t="s">
        <v>22</v>
      </c>
      <c r="B13" s="11" t="s">
        <v>17</v>
      </c>
      <c r="C13" s="12">
        <v>17</v>
      </c>
      <c r="D13" s="53"/>
      <c r="E13" s="54"/>
      <c r="F13" s="17">
        <v>55</v>
      </c>
      <c r="G13" s="14">
        <v>16</v>
      </c>
      <c r="H13" s="53"/>
      <c r="I13" s="54"/>
      <c r="J13" s="17"/>
      <c r="K13" s="14"/>
      <c r="L13" s="15">
        <f t="shared" si="0"/>
        <v>55</v>
      </c>
      <c r="M13" s="48">
        <v>1</v>
      </c>
      <c r="N13" s="16"/>
      <c r="O13" s="14"/>
      <c r="P13" s="15">
        <f t="shared" si="1"/>
        <v>16</v>
      </c>
      <c r="Q13" s="41">
        <f t="shared" si="2"/>
        <v>16</v>
      </c>
    </row>
    <row r="14" spans="1:17" x14ac:dyDescent="0.2">
      <c r="A14" s="10" t="s">
        <v>34</v>
      </c>
      <c r="B14" s="11" t="s">
        <v>35</v>
      </c>
      <c r="C14" s="12">
        <v>13</v>
      </c>
      <c r="D14" s="53"/>
      <c r="E14" s="54"/>
      <c r="F14" s="20"/>
      <c r="G14" s="14"/>
      <c r="H14" s="53"/>
      <c r="I14" s="54"/>
      <c r="J14" s="20"/>
      <c r="K14" s="14"/>
      <c r="L14" s="15"/>
      <c r="M14" s="48"/>
      <c r="N14" s="16"/>
      <c r="O14" s="14"/>
      <c r="P14" s="15">
        <f t="shared" si="1"/>
        <v>0</v>
      </c>
      <c r="Q14" s="41"/>
    </row>
    <row r="15" spans="1:17" x14ac:dyDescent="0.2">
      <c r="A15" s="10" t="s">
        <v>36</v>
      </c>
      <c r="B15" s="11" t="s">
        <v>37</v>
      </c>
      <c r="C15" s="12">
        <v>2</v>
      </c>
      <c r="D15" s="53"/>
      <c r="E15" s="54"/>
      <c r="F15" s="21"/>
      <c r="G15" s="14"/>
      <c r="H15" s="53"/>
      <c r="I15" s="54"/>
      <c r="J15" s="21"/>
      <c r="K15" s="14"/>
      <c r="L15" s="15"/>
      <c r="M15" s="48"/>
      <c r="N15" s="16"/>
      <c r="O15" s="14"/>
      <c r="P15" s="15">
        <f t="shared" si="1"/>
        <v>0</v>
      </c>
      <c r="Q15" s="41"/>
    </row>
    <row r="16" spans="1:17" x14ac:dyDescent="0.2">
      <c r="A16" s="10" t="s">
        <v>32</v>
      </c>
      <c r="B16" s="11" t="s">
        <v>33</v>
      </c>
      <c r="C16" s="12" t="s">
        <v>29</v>
      </c>
      <c r="D16" s="53"/>
      <c r="E16" s="54"/>
      <c r="F16" s="17">
        <v>51</v>
      </c>
      <c r="G16" s="14"/>
      <c r="H16" s="53"/>
      <c r="I16" s="54"/>
      <c r="J16" s="17"/>
      <c r="K16" s="14"/>
      <c r="L16" s="15">
        <f>F16+J16</f>
        <v>51</v>
      </c>
      <c r="M16" s="48">
        <v>1</v>
      </c>
      <c r="N16" s="16"/>
      <c r="O16" s="14"/>
      <c r="P16" s="15">
        <f t="shared" si="1"/>
        <v>0</v>
      </c>
      <c r="Q16" s="41"/>
    </row>
    <row r="17" spans="1:17" x14ac:dyDescent="0.2">
      <c r="A17" s="10" t="s">
        <v>30</v>
      </c>
      <c r="B17" s="11" t="s">
        <v>31</v>
      </c>
      <c r="C17" s="12" t="s">
        <v>29</v>
      </c>
      <c r="D17" s="53"/>
      <c r="E17" s="54"/>
      <c r="F17" s="17">
        <v>46</v>
      </c>
      <c r="G17" s="14"/>
      <c r="H17" s="53"/>
      <c r="I17" s="54"/>
      <c r="J17" s="17"/>
      <c r="K17" s="14"/>
      <c r="L17" s="15">
        <f>F17+J17</f>
        <v>46</v>
      </c>
      <c r="M17" s="48">
        <v>1</v>
      </c>
      <c r="N17" s="17"/>
      <c r="O17" s="42"/>
      <c r="P17" s="15">
        <f t="shared" si="1"/>
        <v>0</v>
      </c>
      <c r="Q17" s="41"/>
    </row>
    <row r="18" spans="1:17" x14ac:dyDescent="0.2">
      <c r="A18" s="10" t="s">
        <v>27</v>
      </c>
      <c r="B18" s="11" t="s">
        <v>28</v>
      </c>
      <c r="C18" s="12" t="s">
        <v>29</v>
      </c>
      <c r="D18" s="53"/>
      <c r="E18" s="54"/>
      <c r="F18" s="17">
        <v>41</v>
      </c>
      <c r="G18" s="14"/>
      <c r="H18" s="53"/>
      <c r="I18" s="54"/>
      <c r="J18" s="17"/>
      <c r="K18" s="14"/>
      <c r="L18" s="15">
        <f>F18+J18</f>
        <v>41</v>
      </c>
      <c r="M18" s="48">
        <v>1</v>
      </c>
      <c r="N18" s="16"/>
      <c r="O18" s="14"/>
      <c r="P18" s="15">
        <f t="shared" si="1"/>
        <v>0</v>
      </c>
      <c r="Q18" s="41"/>
    </row>
    <row r="19" spans="1:17" x14ac:dyDescent="0.2">
      <c r="A19" s="10" t="s">
        <v>38</v>
      </c>
      <c r="B19" s="11" t="s">
        <v>39</v>
      </c>
      <c r="C19" s="12">
        <v>15</v>
      </c>
      <c r="D19" s="53"/>
      <c r="E19" s="54"/>
      <c r="F19" s="17"/>
      <c r="G19" s="14"/>
      <c r="H19" s="53"/>
      <c r="I19" s="54"/>
      <c r="J19" s="17"/>
      <c r="K19" s="14"/>
      <c r="L19" s="15"/>
      <c r="M19" s="48"/>
      <c r="N19" s="16"/>
      <c r="O19" s="14"/>
      <c r="P19" s="15">
        <f t="shared" si="1"/>
        <v>0</v>
      </c>
      <c r="Q19" s="41"/>
    </row>
    <row r="20" spans="1:17" ht="17" thickBot="1" x14ac:dyDescent="0.25">
      <c r="A20" s="22" t="s">
        <v>32</v>
      </c>
      <c r="B20" s="23" t="s">
        <v>40</v>
      </c>
      <c r="C20" s="24">
        <v>11</v>
      </c>
      <c r="D20" s="55"/>
      <c r="E20" s="56"/>
      <c r="F20" s="25"/>
      <c r="G20" s="26"/>
      <c r="H20" s="55"/>
      <c r="I20" s="56"/>
      <c r="J20" s="25"/>
      <c r="K20" s="26"/>
      <c r="L20" s="27"/>
      <c r="M20" s="49"/>
      <c r="N20" s="28"/>
      <c r="O20" s="26"/>
      <c r="P20" s="27">
        <f t="shared" si="1"/>
        <v>0</v>
      </c>
      <c r="Q20" s="43"/>
    </row>
    <row r="21" spans="1:17" ht="17" thickBot="1" x14ac:dyDescent="0.25">
      <c r="A21" s="44"/>
      <c r="B21" s="45"/>
      <c r="C21" s="45"/>
      <c r="D21" s="46"/>
      <c r="E21" s="46"/>
      <c r="F21" s="46">
        <f>AVERAGEIF(F4:F20,"&gt;0")</f>
        <v>49.75</v>
      </c>
      <c r="G21" s="46"/>
      <c r="H21" s="46"/>
      <c r="I21" s="46"/>
      <c r="J21" s="46">
        <f>AVERAGEIF(J4:J20,"&gt;0")</f>
        <v>54</v>
      </c>
      <c r="K21" s="46"/>
      <c r="L21" s="50"/>
      <c r="M21" s="29"/>
      <c r="N21" s="29"/>
      <c r="O21" s="29"/>
      <c r="P21" s="29"/>
      <c r="Q21" s="29"/>
    </row>
    <row r="22" spans="1:17" x14ac:dyDescent="0.2">
      <c r="C22" s="30"/>
      <c r="L22" s="31"/>
      <c r="M22" s="31"/>
      <c r="N22" s="32"/>
      <c r="O22" s="32"/>
      <c r="P22" s="31"/>
      <c r="Q22" s="33"/>
    </row>
    <row r="23" spans="1:17" x14ac:dyDescent="0.2">
      <c r="C23" s="84" t="s">
        <v>43</v>
      </c>
      <c r="F23" s="35"/>
      <c r="H23" s="35"/>
      <c r="J23" s="34"/>
      <c r="K23" s="35"/>
    </row>
    <row r="24" spans="1:17" x14ac:dyDescent="0.2">
      <c r="C24" s="85" t="s">
        <v>44</v>
      </c>
      <c r="F24" s="36"/>
      <c r="H24" s="36"/>
      <c r="J24" s="34"/>
      <c r="K24" s="36"/>
      <c r="L24" s="37"/>
    </row>
    <row r="25" spans="1:17" x14ac:dyDescent="0.2">
      <c r="C25" s="86" t="s">
        <v>49</v>
      </c>
      <c r="E25" s="39"/>
      <c r="F25" s="38"/>
      <c r="G25" s="39"/>
      <c r="H25" s="38"/>
      <c r="I25" s="39"/>
      <c r="J25" s="34"/>
      <c r="K25" s="38"/>
    </row>
  </sheetData>
  <mergeCells count="19">
    <mergeCell ref="F1:G1"/>
    <mergeCell ref="F2:G2"/>
    <mergeCell ref="M2:M3"/>
    <mergeCell ref="H1:I1"/>
    <mergeCell ref="J1:K1"/>
    <mergeCell ref="D4:E20"/>
    <mergeCell ref="A1:B3"/>
    <mergeCell ref="C1:C3"/>
    <mergeCell ref="D1:E1"/>
    <mergeCell ref="D2:E2"/>
    <mergeCell ref="H4:I20"/>
    <mergeCell ref="L1:L3"/>
    <mergeCell ref="M1:Q1"/>
    <mergeCell ref="H2:I2"/>
    <mergeCell ref="J2:K2"/>
    <mergeCell ref="N2:N3"/>
    <mergeCell ref="O2:O3"/>
    <mergeCell ref="P2:P3"/>
    <mergeCell ref="Q2:Q3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2025-06-01T15:46:47Z</cp:lastPrinted>
  <dcterms:created xsi:type="dcterms:W3CDTF">2025-05-15T01:18:57Z</dcterms:created>
  <dcterms:modified xsi:type="dcterms:W3CDTF">2025-06-01T15:53:21Z</dcterms:modified>
</cp:coreProperties>
</file>