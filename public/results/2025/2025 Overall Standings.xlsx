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F4AF085A-653B-A142-B331-4B8594B8F56F}" xr6:coauthVersionLast="47" xr6:coauthVersionMax="47" xr10:uidLastSave="{00000000-0000-0000-0000-000000000000}"/>
  <bookViews>
    <workbookView xWindow="9380" yWindow="1140" windowWidth="27640" windowHeight="16940" xr2:uid="{1A9894EE-562E-3246-9111-2FABF9BD81D0}"/>
  </bookViews>
  <sheets>
    <sheet name="2025 Over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1" i="1"/>
  <c r="H15" i="1"/>
  <c r="H14" i="1"/>
  <c r="H13" i="1"/>
  <c r="L12" i="1"/>
  <c r="M12" i="1" s="1"/>
  <c r="H12" i="1"/>
  <c r="L11" i="1"/>
  <c r="M11" i="1" s="1"/>
  <c r="H11" i="1"/>
  <c r="L10" i="1"/>
  <c r="M10" i="1" s="1"/>
  <c r="H10" i="1"/>
  <c r="L9" i="1"/>
  <c r="M9" i="1" s="1"/>
  <c r="H9" i="1"/>
  <c r="L8" i="1"/>
  <c r="M8" i="1" s="1"/>
  <c r="H8" i="1"/>
  <c r="L7" i="1"/>
  <c r="M7" i="1" s="1"/>
  <c r="H7" i="1"/>
  <c r="L6" i="1"/>
  <c r="M6" i="1" s="1"/>
  <c r="H6" i="1"/>
  <c r="L5" i="1"/>
  <c r="M5" i="1" s="1"/>
  <c r="H5" i="1"/>
  <c r="M4" i="1"/>
  <c r="L4" i="1"/>
  <c r="H4" i="1"/>
</calcChain>
</file>

<file path=xl/sharedStrings.xml><?xml version="1.0" encoding="utf-8"?>
<sst xmlns="http://schemas.openxmlformats.org/spreadsheetml/2006/main" count="59" uniqueCount="51">
  <si>
    <t>PLAYERS</t>
  </si>
  <si>
    <t>9-HOLE 
HANDICAP (from 2024)</t>
  </si>
  <si>
    <t>WEEK 1</t>
  </si>
  <si>
    <t>Total Strokes</t>
  </si>
  <si>
    <t>FIRST HALF (11 Rounds)</t>
  </si>
  <si>
    <t>Rounds Played</t>
  </si>
  <si>
    <t>CTTP Points</t>
  </si>
  <si>
    <t>Birdie Points</t>
  </si>
  <si>
    <t>Total Points</t>
  </si>
  <si>
    <t>Weekly Point Average</t>
  </si>
  <si>
    <t>Score</t>
  </si>
  <si>
    <t>Points</t>
  </si>
  <si>
    <t>John</t>
  </si>
  <si>
    <t>Bess</t>
  </si>
  <si>
    <t>Mark</t>
  </si>
  <si>
    <t>Young</t>
  </si>
  <si>
    <t>Russ</t>
  </si>
  <si>
    <t>Walters</t>
  </si>
  <si>
    <t>Hutter</t>
  </si>
  <si>
    <t>Ami</t>
  </si>
  <si>
    <t>Ryan</t>
  </si>
  <si>
    <t>Miller</t>
  </si>
  <si>
    <t>Kevin</t>
  </si>
  <si>
    <t>Karen</t>
  </si>
  <si>
    <t>Arndt</t>
  </si>
  <si>
    <t>Shayne</t>
  </si>
  <si>
    <t>Ige</t>
  </si>
  <si>
    <t>Matthew</t>
  </si>
  <si>
    <t>Shirola</t>
  </si>
  <si>
    <t>TBD</t>
  </si>
  <si>
    <t>Luke</t>
  </si>
  <si>
    <t>Morgan</t>
  </si>
  <si>
    <t>Mike</t>
  </si>
  <si>
    <t>Guinn</t>
  </si>
  <si>
    <t>Tony</t>
  </si>
  <si>
    <t>Adkison</t>
  </si>
  <si>
    <t>Jon</t>
  </si>
  <si>
    <t>Dickey</t>
  </si>
  <si>
    <t>Jeff</t>
  </si>
  <si>
    <t>Vest</t>
  </si>
  <si>
    <t>White</t>
  </si>
  <si>
    <t>Randy</t>
  </si>
  <si>
    <t>Wise</t>
  </si>
  <si>
    <t>Closest #4</t>
  </si>
  <si>
    <t>RED</t>
  </si>
  <si>
    <t>Closest #7</t>
  </si>
  <si>
    <t>GREEN</t>
  </si>
  <si>
    <t>Both</t>
  </si>
  <si>
    <t>BLUE</t>
  </si>
  <si>
    <t>WEEK 2</t>
  </si>
  <si>
    <t>RAIN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</si>
</sst>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B0F0"/>
      <name val="Aptos Narrow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4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15" xfId="0" applyBorder="1"/>
    <xf numFmtId="0" fontId="0" fillId="0" borderId="26" xfId="0" applyBorder="1"/>
    <xf numFmtId="1" fontId="0" fillId="2" borderId="14" xfId="0" applyNumberFormat="1" applyFill="1" applyBorder="1" applyAlignment="1">
      <alignment horizontal="center" vertical="center"/>
    </xf>
    <xf numFmtId="1" fontId="0" fillId="0" borderId="15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1" fontId="0" fillId="2" borderId="31" xfId="0" applyNumberFormat="1" applyFill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" fontId="0" fillId="0" borderId="29" xfId="0" applyNumberForma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7" fillId="0" borderId="29" xfId="0" applyNumberFormat="1" applyFont="1" applyBorder="1" applyAlignment="1">
      <alignment horizontal="center"/>
    </xf>
    <xf numFmtId="1" fontId="8" fillId="0" borderId="29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0" fillId="0" borderId="20" xfId="0" applyBorder="1"/>
    <xf numFmtId="0" fontId="0" fillId="0" borderId="34" xfId="0" applyBorder="1"/>
    <xf numFmtId="1" fontId="0" fillId="2" borderId="23" xfId="0" applyNumberFormat="1" applyFill="1" applyBorder="1" applyAlignment="1">
      <alignment horizontal="center" vertic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quotePrefix="1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textRotation="90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textRotation="90"/>
    </xf>
    <xf numFmtId="1" fontId="12" fillId="3" borderId="2" xfId="0" applyNumberFormat="1" applyFont="1" applyFill="1" applyBorder="1" applyAlignment="1">
      <alignment horizontal="center" vertical="center" textRotation="90"/>
    </xf>
    <xf numFmtId="2" fontId="4" fillId="0" borderId="37" xfId="0" applyNumberFormat="1" applyFont="1" applyBorder="1" applyAlignment="1">
      <alignment horizontal="center"/>
    </xf>
    <xf numFmtId="1" fontId="12" fillId="3" borderId="9" xfId="0" applyNumberFormat="1" applyFont="1" applyFill="1" applyBorder="1" applyAlignment="1">
      <alignment horizontal="center" vertical="center" textRotation="90"/>
    </xf>
    <xf numFmtId="1" fontId="12" fillId="3" borderId="10" xfId="0" applyNumberFormat="1" applyFont="1" applyFill="1" applyBorder="1" applyAlignment="1">
      <alignment horizontal="center" vertical="center" textRotation="90"/>
    </xf>
    <xf numFmtId="2" fontId="4" fillId="0" borderId="38" xfId="0" applyNumberFormat="1" applyFon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12" fillId="3" borderId="18" xfId="0" applyNumberFormat="1" applyFont="1" applyFill="1" applyBorder="1" applyAlignment="1">
      <alignment horizontal="center" vertical="center" textRotation="90"/>
    </xf>
    <xf numFmtId="1" fontId="12" fillId="3" borderId="19" xfId="0" applyNumberFormat="1" applyFont="1" applyFill="1" applyBorder="1" applyAlignment="1">
      <alignment horizontal="center" vertical="center" textRotation="90"/>
    </xf>
    <xf numFmtId="2" fontId="4" fillId="0" borderId="39" xfId="0" applyNumberFormat="1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73BD-DC86-AB41-8C3D-0D64B5D06628}">
  <dimension ref="A1:M25"/>
  <sheetViews>
    <sheetView tabSelected="1" workbookViewId="0">
      <selection activeCell="G34" sqref="G34"/>
    </sheetView>
  </sheetViews>
  <sheetFormatPr baseColWidth="10" defaultRowHeight="16" x14ac:dyDescent="0.2"/>
  <cols>
    <col min="1" max="2" width="10" customWidth="1"/>
    <col min="3" max="3" width="12.33203125" customWidth="1"/>
    <col min="4" max="7" width="7.5" customWidth="1"/>
    <col min="8" max="8" width="7.1640625" customWidth="1"/>
    <col min="9" max="9" width="9.1640625" customWidth="1"/>
    <col min="10" max="10" width="6.5" customWidth="1"/>
    <col min="11" max="11" width="6.33203125" customWidth="1"/>
    <col min="12" max="12" width="7.6640625" customWidth="1"/>
    <col min="13" max="13" width="11.6640625" customWidth="1"/>
  </cols>
  <sheetData>
    <row r="1" spans="1:13" ht="17" thickBot="1" x14ac:dyDescent="0.25">
      <c r="A1" s="45" t="s">
        <v>0</v>
      </c>
      <c r="B1" s="46"/>
      <c r="C1" s="51" t="s">
        <v>1</v>
      </c>
      <c r="D1" s="53" t="s">
        <v>2</v>
      </c>
      <c r="E1" s="54"/>
      <c r="F1" s="53" t="s">
        <v>49</v>
      </c>
      <c r="G1" s="54"/>
      <c r="H1" s="55" t="s">
        <v>3</v>
      </c>
      <c r="I1" s="58" t="s">
        <v>4</v>
      </c>
      <c r="J1" s="59"/>
      <c r="K1" s="59"/>
      <c r="L1" s="59"/>
      <c r="M1" s="60"/>
    </row>
    <row r="2" spans="1:13" x14ac:dyDescent="0.2">
      <c r="A2" s="47"/>
      <c r="B2" s="48"/>
      <c r="C2" s="52"/>
      <c r="D2" s="61">
        <v>45782</v>
      </c>
      <c r="E2" s="62"/>
      <c r="F2" s="61">
        <v>45789</v>
      </c>
      <c r="G2" s="62"/>
      <c r="H2" s="56"/>
      <c r="I2" s="63" t="s">
        <v>5</v>
      </c>
      <c r="J2" s="65" t="s">
        <v>6</v>
      </c>
      <c r="K2" s="67" t="s">
        <v>7</v>
      </c>
      <c r="L2" s="63" t="s">
        <v>8</v>
      </c>
      <c r="M2" s="43" t="s">
        <v>9</v>
      </c>
    </row>
    <row r="3" spans="1:13" ht="17" thickBot="1" x14ac:dyDescent="0.25">
      <c r="A3" s="49"/>
      <c r="B3" s="50"/>
      <c r="C3" s="52"/>
      <c r="D3" s="1" t="s">
        <v>10</v>
      </c>
      <c r="E3" s="2" t="s">
        <v>11</v>
      </c>
      <c r="F3" s="1" t="s">
        <v>10</v>
      </c>
      <c r="G3" s="2" t="s">
        <v>11</v>
      </c>
      <c r="H3" s="57"/>
      <c r="I3" s="64"/>
      <c r="J3" s="66"/>
      <c r="K3" s="68"/>
      <c r="L3" s="69"/>
      <c r="M3" s="44"/>
    </row>
    <row r="4" spans="1:13" x14ac:dyDescent="0.2">
      <c r="A4" s="3" t="s">
        <v>12</v>
      </c>
      <c r="B4" s="4" t="s">
        <v>13</v>
      </c>
      <c r="C4" s="5">
        <v>15</v>
      </c>
      <c r="D4" s="70" t="s">
        <v>50</v>
      </c>
      <c r="E4" s="71"/>
      <c r="F4" s="6">
        <v>42</v>
      </c>
      <c r="G4" s="7">
        <v>27</v>
      </c>
      <c r="H4" s="8" t="str">
        <f t="shared" ref="H4:H15" si="0">D4</f>
        <v>RAIN OUT</v>
      </c>
      <c r="I4" s="9">
        <v>1</v>
      </c>
      <c r="J4" s="10"/>
      <c r="K4" s="7"/>
      <c r="L4" s="8">
        <f>E4+G4+J4+K4</f>
        <v>27</v>
      </c>
      <c r="M4" s="72">
        <f t="shared" ref="M4:M12" si="1">L4/I4</f>
        <v>27</v>
      </c>
    </row>
    <row r="5" spans="1:13" x14ac:dyDescent="0.2">
      <c r="A5" s="11" t="s">
        <v>14</v>
      </c>
      <c r="B5" s="12" t="s">
        <v>15</v>
      </c>
      <c r="C5" s="13">
        <v>13</v>
      </c>
      <c r="D5" s="73"/>
      <c r="E5" s="74"/>
      <c r="F5" s="14">
        <v>42</v>
      </c>
      <c r="G5" s="15">
        <v>25</v>
      </c>
      <c r="H5" s="16">
        <f t="shared" si="0"/>
        <v>0</v>
      </c>
      <c r="I5" s="17">
        <v>1</v>
      </c>
      <c r="J5" s="18">
        <v>1</v>
      </c>
      <c r="K5" s="15"/>
      <c r="L5" s="16">
        <f>E5+G5+J5+K5</f>
        <v>26</v>
      </c>
      <c r="M5" s="75">
        <f t="shared" si="1"/>
        <v>26</v>
      </c>
    </row>
    <row r="6" spans="1:13" x14ac:dyDescent="0.2">
      <c r="A6" s="11" t="s">
        <v>16</v>
      </c>
      <c r="B6" s="12" t="s">
        <v>17</v>
      </c>
      <c r="C6" s="13">
        <v>22</v>
      </c>
      <c r="D6" s="73"/>
      <c r="E6" s="74"/>
      <c r="F6" s="19">
        <v>53</v>
      </c>
      <c r="G6" s="15">
        <v>23</v>
      </c>
      <c r="H6" s="16">
        <f t="shared" si="0"/>
        <v>0</v>
      </c>
      <c r="I6" s="17">
        <v>1</v>
      </c>
      <c r="J6" s="18"/>
      <c r="K6" s="15"/>
      <c r="L6" s="16">
        <f>E6+G6+J6+K6</f>
        <v>23</v>
      </c>
      <c r="M6" s="75">
        <f t="shared" si="1"/>
        <v>23</v>
      </c>
    </row>
    <row r="7" spans="1:13" x14ac:dyDescent="0.2">
      <c r="A7" s="11" t="s">
        <v>14</v>
      </c>
      <c r="B7" s="12" t="s">
        <v>18</v>
      </c>
      <c r="C7" s="13">
        <v>8</v>
      </c>
      <c r="D7" s="73"/>
      <c r="E7" s="74"/>
      <c r="F7" s="20">
        <v>45</v>
      </c>
      <c r="G7" s="15">
        <v>17</v>
      </c>
      <c r="H7" s="16">
        <f t="shared" si="0"/>
        <v>0</v>
      </c>
      <c r="I7" s="17">
        <v>1</v>
      </c>
      <c r="J7" s="18"/>
      <c r="K7" s="15">
        <v>1</v>
      </c>
      <c r="L7" s="16">
        <f>E7+G7+J7+K7</f>
        <v>18</v>
      </c>
      <c r="M7" s="75">
        <f t="shared" si="1"/>
        <v>18</v>
      </c>
    </row>
    <row r="8" spans="1:13" x14ac:dyDescent="0.2">
      <c r="A8" s="11" t="s">
        <v>19</v>
      </c>
      <c r="B8" s="12" t="s">
        <v>13</v>
      </c>
      <c r="C8" s="13">
        <v>22</v>
      </c>
      <c r="D8" s="73"/>
      <c r="E8" s="74"/>
      <c r="F8" s="19">
        <v>59</v>
      </c>
      <c r="G8" s="15">
        <v>17</v>
      </c>
      <c r="H8" s="16">
        <f t="shared" si="0"/>
        <v>0</v>
      </c>
      <c r="I8" s="17">
        <v>1</v>
      </c>
      <c r="J8" s="18"/>
      <c r="K8" s="15"/>
      <c r="L8" s="16">
        <f>E8+G8+J8+K8</f>
        <v>17</v>
      </c>
      <c r="M8" s="75">
        <f t="shared" si="1"/>
        <v>17</v>
      </c>
    </row>
    <row r="9" spans="1:13" x14ac:dyDescent="0.2">
      <c r="A9" s="11" t="s">
        <v>20</v>
      </c>
      <c r="B9" s="12" t="s">
        <v>21</v>
      </c>
      <c r="C9" s="13">
        <v>8</v>
      </c>
      <c r="D9" s="73"/>
      <c r="E9" s="74"/>
      <c r="F9" s="19">
        <v>46</v>
      </c>
      <c r="G9" s="15">
        <v>16</v>
      </c>
      <c r="H9" s="16">
        <f t="shared" si="0"/>
        <v>0</v>
      </c>
      <c r="I9" s="17">
        <v>1</v>
      </c>
      <c r="J9" s="18"/>
      <c r="K9" s="15"/>
      <c r="L9" s="16">
        <f>E9+G9+J9+K9</f>
        <v>16</v>
      </c>
      <c r="M9" s="75">
        <f t="shared" si="1"/>
        <v>16</v>
      </c>
    </row>
    <row r="10" spans="1:13" x14ac:dyDescent="0.2">
      <c r="A10" s="11" t="s">
        <v>22</v>
      </c>
      <c r="B10" s="12" t="s">
        <v>17</v>
      </c>
      <c r="C10" s="13">
        <v>17</v>
      </c>
      <c r="D10" s="73"/>
      <c r="E10" s="74"/>
      <c r="F10" s="19">
        <v>55</v>
      </c>
      <c r="G10" s="15">
        <v>16</v>
      </c>
      <c r="H10" s="16">
        <f t="shared" si="0"/>
        <v>0</v>
      </c>
      <c r="I10" s="17">
        <v>1</v>
      </c>
      <c r="J10" s="18"/>
      <c r="K10" s="15"/>
      <c r="L10" s="16">
        <f>E10+G10+J10+K10</f>
        <v>16</v>
      </c>
      <c r="M10" s="75">
        <f t="shared" si="1"/>
        <v>16</v>
      </c>
    </row>
    <row r="11" spans="1:13" x14ac:dyDescent="0.2">
      <c r="A11" s="11" t="s">
        <v>23</v>
      </c>
      <c r="B11" s="12" t="s">
        <v>24</v>
      </c>
      <c r="C11" s="13">
        <v>18</v>
      </c>
      <c r="D11" s="73"/>
      <c r="E11" s="74"/>
      <c r="F11" s="19">
        <v>56</v>
      </c>
      <c r="G11" s="15">
        <v>16</v>
      </c>
      <c r="H11" s="16">
        <f t="shared" si="0"/>
        <v>0</v>
      </c>
      <c r="I11" s="17">
        <v>1</v>
      </c>
      <c r="J11" s="18"/>
      <c r="K11" s="15"/>
      <c r="L11" s="16">
        <f>E11+G11+J11+K11</f>
        <v>16</v>
      </c>
      <c r="M11" s="75">
        <f t="shared" si="1"/>
        <v>16</v>
      </c>
    </row>
    <row r="12" spans="1:13" x14ac:dyDescent="0.2">
      <c r="A12" s="11" t="s">
        <v>25</v>
      </c>
      <c r="B12" s="12" t="s">
        <v>26</v>
      </c>
      <c r="C12" s="13">
        <v>21</v>
      </c>
      <c r="D12" s="73"/>
      <c r="E12" s="74"/>
      <c r="F12" s="21">
        <v>61</v>
      </c>
      <c r="G12" s="15">
        <v>14</v>
      </c>
      <c r="H12" s="16">
        <f t="shared" si="0"/>
        <v>0</v>
      </c>
      <c r="I12" s="17">
        <v>1</v>
      </c>
      <c r="J12" s="18">
        <v>1</v>
      </c>
      <c r="K12" s="15"/>
      <c r="L12" s="16">
        <f>E12+G12+J12+K12</f>
        <v>15</v>
      </c>
      <c r="M12" s="75">
        <f t="shared" si="1"/>
        <v>15</v>
      </c>
    </row>
    <row r="13" spans="1:13" x14ac:dyDescent="0.2">
      <c r="A13" s="11" t="s">
        <v>27</v>
      </c>
      <c r="B13" s="12" t="s">
        <v>28</v>
      </c>
      <c r="C13" s="13" t="s">
        <v>29</v>
      </c>
      <c r="D13" s="73"/>
      <c r="E13" s="74"/>
      <c r="F13" s="19">
        <v>41</v>
      </c>
      <c r="G13" s="15"/>
      <c r="H13" s="16">
        <f t="shared" si="0"/>
        <v>0</v>
      </c>
      <c r="I13" s="17">
        <v>1</v>
      </c>
      <c r="J13" s="18"/>
      <c r="K13" s="15"/>
      <c r="L13" s="16"/>
      <c r="M13" s="75"/>
    </row>
    <row r="14" spans="1:13" x14ac:dyDescent="0.2">
      <c r="A14" s="11" t="s">
        <v>30</v>
      </c>
      <c r="B14" s="12" t="s">
        <v>31</v>
      </c>
      <c r="C14" s="13" t="s">
        <v>29</v>
      </c>
      <c r="D14" s="73"/>
      <c r="E14" s="74"/>
      <c r="F14" s="19">
        <v>46</v>
      </c>
      <c r="G14" s="15"/>
      <c r="H14" s="16">
        <f t="shared" si="0"/>
        <v>0</v>
      </c>
      <c r="I14" s="17">
        <v>1</v>
      </c>
      <c r="J14" s="19"/>
      <c r="K14" s="76"/>
      <c r="L14" s="16"/>
      <c r="M14" s="75"/>
    </row>
    <row r="15" spans="1:13" x14ac:dyDescent="0.2">
      <c r="A15" s="11" t="s">
        <v>32</v>
      </c>
      <c r="B15" s="12" t="s">
        <v>33</v>
      </c>
      <c r="C15" s="13" t="s">
        <v>29</v>
      </c>
      <c r="D15" s="73"/>
      <c r="E15" s="74"/>
      <c r="F15" s="19">
        <v>51</v>
      </c>
      <c r="G15" s="15"/>
      <c r="H15" s="16">
        <f t="shared" si="0"/>
        <v>0</v>
      </c>
      <c r="I15" s="17">
        <v>1</v>
      </c>
      <c r="J15" s="18"/>
      <c r="K15" s="15"/>
      <c r="L15" s="16"/>
      <c r="M15" s="75"/>
    </row>
    <row r="16" spans="1:13" x14ac:dyDescent="0.2">
      <c r="A16" s="11" t="s">
        <v>34</v>
      </c>
      <c r="B16" s="12" t="s">
        <v>35</v>
      </c>
      <c r="C16" s="13">
        <v>13</v>
      </c>
      <c r="D16" s="73"/>
      <c r="E16" s="74"/>
      <c r="F16" s="22"/>
      <c r="G16" s="15"/>
      <c r="H16" s="16"/>
      <c r="I16" s="17"/>
      <c r="J16" s="18"/>
      <c r="K16" s="15"/>
      <c r="L16" s="16"/>
      <c r="M16" s="75"/>
    </row>
    <row r="17" spans="1:13" x14ac:dyDescent="0.2">
      <c r="A17" s="11" t="s">
        <v>36</v>
      </c>
      <c r="B17" s="12" t="s">
        <v>37</v>
      </c>
      <c r="C17" s="13">
        <v>2</v>
      </c>
      <c r="D17" s="73"/>
      <c r="E17" s="74"/>
      <c r="F17" s="23"/>
      <c r="G17" s="15"/>
      <c r="H17" s="16"/>
      <c r="I17" s="17"/>
      <c r="J17" s="18"/>
      <c r="K17" s="15"/>
      <c r="L17" s="16"/>
      <c r="M17" s="75"/>
    </row>
    <row r="18" spans="1:13" x14ac:dyDescent="0.2">
      <c r="A18" s="11" t="s">
        <v>38</v>
      </c>
      <c r="B18" s="12" t="s">
        <v>39</v>
      </c>
      <c r="C18" s="13">
        <v>15</v>
      </c>
      <c r="D18" s="73"/>
      <c r="E18" s="74"/>
      <c r="F18" s="19"/>
      <c r="G18" s="15"/>
      <c r="H18" s="16"/>
      <c r="I18" s="17"/>
      <c r="J18" s="18"/>
      <c r="K18" s="15"/>
      <c r="L18" s="16"/>
      <c r="M18" s="75"/>
    </row>
    <row r="19" spans="1:13" x14ac:dyDescent="0.2">
      <c r="A19" s="11" t="s">
        <v>32</v>
      </c>
      <c r="B19" s="12" t="s">
        <v>40</v>
      </c>
      <c r="C19" s="13">
        <v>11</v>
      </c>
      <c r="D19" s="73"/>
      <c r="E19" s="74"/>
      <c r="F19" s="19"/>
      <c r="G19" s="15"/>
      <c r="H19" s="16"/>
      <c r="I19" s="17"/>
      <c r="J19" s="18"/>
      <c r="K19" s="15"/>
      <c r="L19" s="16"/>
      <c r="M19" s="75"/>
    </row>
    <row r="20" spans="1:13" ht="17" thickBot="1" x14ac:dyDescent="0.25">
      <c r="A20" s="24" t="s">
        <v>41</v>
      </c>
      <c r="B20" s="25" t="s">
        <v>42</v>
      </c>
      <c r="C20" s="26">
        <v>15</v>
      </c>
      <c r="D20" s="77"/>
      <c r="E20" s="78"/>
      <c r="F20" s="27"/>
      <c r="G20" s="28"/>
      <c r="H20" s="29"/>
      <c r="I20" s="30"/>
      <c r="J20" s="31"/>
      <c r="K20" s="28"/>
      <c r="L20" s="29"/>
      <c r="M20" s="79"/>
    </row>
    <row r="21" spans="1:13" ht="17" thickBot="1" x14ac:dyDescent="0.25">
      <c r="A21" s="80"/>
      <c r="B21" s="81"/>
      <c r="C21" s="81"/>
      <c r="D21" s="82" t="e">
        <f>AVERAGEIF(D4:D20,"&gt;0")</f>
        <v>#DIV/0!</v>
      </c>
      <c r="E21" s="82"/>
      <c r="F21" s="82">
        <f>AVERAGEIF(F4:F20,"&gt;0")</f>
        <v>49.75</v>
      </c>
      <c r="G21" s="82"/>
      <c r="H21" s="81"/>
      <c r="I21" s="32"/>
      <c r="J21" s="32"/>
      <c r="K21" s="32"/>
      <c r="L21" s="32"/>
      <c r="M21" s="32"/>
    </row>
    <row r="22" spans="1:13" x14ac:dyDescent="0.2">
      <c r="C22" s="33"/>
      <c r="H22" s="34"/>
      <c r="I22" s="34"/>
      <c r="J22" s="35"/>
      <c r="K22" s="35"/>
      <c r="L22" s="34"/>
      <c r="M22" s="36"/>
    </row>
    <row r="23" spans="1:13" x14ac:dyDescent="0.2">
      <c r="C23" s="37" t="s">
        <v>43</v>
      </c>
      <c r="D23" s="38" t="s">
        <v>44</v>
      </c>
      <c r="F23" s="38"/>
    </row>
    <row r="24" spans="1:13" x14ac:dyDescent="0.2">
      <c r="C24" s="37" t="s">
        <v>45</v>
      </c>
      <c r="D24" s="39" t="s">
        <v>46</v>
      </c>
      <c r="F24" s="39"/>
      <c r="H24" s="40"/>
    </row>
    <row r="25" spans="1:13" x14ac:dyDescent="0.2">
      <c r="C25" s="37" t="s">
        <v>47</v>
      </c>
      <c r="D25" s="41" t="s">
        <v>48</v>
      </c>
      <c r="E25" s="42"/>
      <c r="F25" s="41"/>
      <c r="G25" s="42"/>
    </row>
  </sheetData>
  <mergeCells count="14">
    <mergeCell ref="D4:E20"/>
    <mergeCell ref="L2:L3"/>
    <mergeCell ref="A1:B3"/>
    <mergeCell ref="C1:C3"/>
    <mergeCell ref="D1:E1"/>
    <mergeCell ref="D2:E2"/>
    <mergeCell ref="I2:I3"/>
    <mergeCell ref="J2:J3"/>
    <mergeCell ref="K2:K3"/>
    <mergeCell ref="F1:G1"/>
    <mergeCell ref="H1:H3"/>
    <mergeCell ref="I1:M1"/>
    <mergeCell ref="F2:G2"/>
    <mergeCell ref="M2:M3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Mark Hutter</cp:lastModifiedBy>
  <cp:lastPrinted>2025-05-15T01:54:04Z</cp:lastPrinted>
  <dcterms:created xsi:type="dcterms:W3CDTF">2025-05-15T01:18:57Z</dcterms:created>
  <dcterms:modified xsi:type="dcterms:W3CDTF">2025-05-15T01:54:55Z</dcterms:modified>
</cp:coreProperties>
</file>