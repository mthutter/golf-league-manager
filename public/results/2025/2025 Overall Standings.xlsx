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3" documentId="13_ncr:1_{0AE6D7ED-C1A2-B14E-A379-CDC667422EC5}" xr6:coauthVersionLast="47" xr6:coauthVersionMax="47" xr10:uidLastSave="{BA5799C0-4AE0-4A80-A76B-DE3BFB79B359}"/>
  <bookViews>
    <workbookView xWindow="39180" yWindow="780" windowWidth="26730" windowHeight="18135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/>
  <c r="L23" i="1"/>
  <c r="J23" i="1"/>
  <c r="F23" i="1"/>
  <c r="T22" i="1"/>
  <c r="Q22" i="1"/>
  <c r="P22" i="1"/>
  <c r="T21" i="1"/>
  <c r="Q21" i="1"/>
  <c r="P21" i="1"/>
  <c r="T20" i="1"/>
  <c r="Q20" i="1"/>
  <c r="P20" i="1"/>
  <c r="T19" i="1"/>
  <c r="Q19" i="1"/>
  <c r="P19" i="1"/>
  <c r="Q18" i="1"/>
  <c r="P18" i="1"/>
  <c r="T17" i="1"/>
  <c r="Q17" i="1"/>
  <c r="P17" i="1"/>
  <c r="T16" i="1"/>
  <c r="Q16" i="1"/>
  <c r="P16" i="1"/>
  <c r="T15" i="1"/>
  <c r="Q15" i="1"/>
  <c r="P15" i="1"/>
  <c r="T14" i="1"/>
  <c r="Q14" i="1"/>
  <c r="U14" i="1" s="1"/>
  <c r="P14" i="1"/>
  <c r="U13" i="1"/>
  <c r="T13" i="1"/>
  <c r="Q13" i="1"/>
  <c r="P13" i="1"/>
  <c r="U12" i="1"/>
  <c r="T12" i="1"/>
  <c r="Q12" i="1"/>
  <c r="P12" i="1"/>
  <c r="U11" i="1"/>
  <c r="T11" i="1"/>
  <c r="Q11" i="1"/>
  <c r="P11" i="1"/>
  <c r="T10" i="1"/>
  <c r="Q10" i="1"/>
  <c r="U10" i="1" s="1"/>
  <c r="P10" i="1"/>
  <c r="U9" i="1"/>
  <c r="T9" i="1"/>
  <c r="Q9" i="1"/>
  <c r="P9" i="1"/>
  <c r="T8" i="1"/>
  <c r="U8" i="1" s="1"/>
  <c r="Q8" i="1"/>
  <c r="P8" i="1"/>
  <c r="U7" i="1"/>
  <c r="T7" i="1"/>
  <c r="Q7" i="1"/>
  <c r="P7" i="1"/>
  <c r="T6" i="1"/>
  <c r="U6" i="1" s="1"/>
  <c r="Q6" i="1"/>
  <c r="P6" i="1"/>
  <c r="U5" i="1"/>
  <c r="T5" i="1"/>
  <c r="Q5" i="1"/>
  <c r="P5" i="1"/>
  <c r="T4" i="1"/>
  <c r="U4" i="1" s="1"/>
  <c r="Q4" i="1"/>
  <c r="P4" i="1"/>
</calcChain>
</file>

<file path=xl/sharedStrings.xml><?xml version="1.0" encoding="utf-8"?>
<sst xmlns="http://schemas.openxmlformats.org/spreadsheetml/2006/main" count="84" uniqueCount="61">
  <si>
    <t>PLAYERS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</si>
  <si>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</si>
  <si>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</si>
  <si>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</si>
  <si>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</si>
  <si>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</si>
  <si>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</si>
  <si>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</si>
  <si>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</si>
  <si>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</si>
  <si>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</si>
  <si>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</si>
  <si>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</si>
  <si>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</si>
  <si>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</si>
  <si>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</si>
  <si>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</si>
  <si>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</si>
  <si>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</si>
  <si>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</si>
  <si>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</si>
  <si>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</si>
  <si>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</si>
  <si>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</si>
  <si>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</si>
  <si>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</si>
  <si>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</si>
  <si>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</si>
  <si>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</si>
  <si>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</si>
  <si>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</si>
  <si>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</si>
  <si>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</si>
  <si>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</si>
  <si>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</si>
  <si>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</si>
  <si>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</si>
  <si>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</si>
  <si>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</si>
  <si>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</si>
  <si>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</si>
  <si>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</si>
  <si>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</si>
  <si>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</si>
  <si>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</si>
  <si>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RAIN OUT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</si>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</sst>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1" fontId="5" fillId="0" borderId="27" xfId="0" applyNumberFormat="1" applyFont="1" applyBorder="1" applyAlignment="1">
      <alignment horizont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27" xfId="0" applyFont="1" applyBorder="1" applyAlignment="1">
      <alignment horizontal="center"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7" fillId="0" borderId="9" xfId="0" applyNumberFormat="1" applyFont="1" applyBorder="1" applyAlignment="1">
      <alignment horizontal="center"/>
    </xf>
    <xf numFmtId="1" fontId="13" fillId="0" borderId="27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0" fillId="0" borderId="0" xfId="0" applyFont="1"/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" fontId="0" fillId="0" borderId="33" xfId="0" applyNumberFormat="1" applyBorder="1" applyAlignment="1">
      <alignment horizontal="center"/>
    </xf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1" fontId="0" fillId="0" borderId="20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Z27"/>
  <sheetViews>
    <sheetView tabSelected="1" workbookViewId="0">
      <selection activeCell="AA31" sqref="AA31"/>
    </sheetView>
  </sheetViews>
  <sheetFormatPr defaultColWidth="8" defaultRowHeight="15.75"/>
  <cols>
    <col min="1" max="1" width="8.75" customWidth="1"/>
    <col min="2" max="2" width="8.25" customWidth="1"/>
    <col min="3" max="3" width="10.125" customWidth="1"/>
    <col min="4" max="9" width="6.875" hidden="1" customWidth="1"/>
    <col min="10" max="10" width="6.875" customWidth="1"/>
    <col min="11" max="15" width="6" customWidth="1"/>
    <col min="16" max="16" width="7.625" customWidth="1"/>
    <col min="17" max="17" width="6.875" customWidth="1"/>
    <col min="18" max="18" width="5.25" customWidth="1"/>
    <col min="19" max="19" width="5.75" customWidth="1"/>
    <col min="20" max="20" width="5.5" customWidth="1"/>
    <col min="21" max="21" width="9.5" customWidth="1"/>
    <col min="22" max="22" width="7.375" hidden="1" customWidth="1"/>
    <col min="23" max="24" width="6" hidden="1" customWidth="1"/>
    <col min="25" max="25" width="7.375" hidden="1" customWidth="1"/>
    <col min="26" max="26" width="9.375" hidden="1" customWidth="1"/>
  </cols>
  <sheetData>
    <row r="1" spans="1:26" s="91" customFormat="1" ht="16.5" customHeight="1" thickBot="1">
      <c r="A1" s="72" t="s">
        <v>0</v>
      </c>
      <c r="B1" s="73"/>
      <c r="C1" s="78" t="s">
        <v>55</v>
      </c>
      <c r="D1" s="65" t="s">
        <v>1</v>
      </c>
      <c r="E1" s="66"/>
      <c r="F1" s="65" t="s">
        <v>44</v>
      </c>
      <c r="G1" s="66"/>
      <c r="H1" s="65" t="s">
        <v>46</v>
      </c>
      <c r="I1" s="66"/>
      <c r="J1" s="65" t="s">
        <v>47</v>
      </c>
      <c r="K1" s="66"/>
      <c r="L1" s="65" t="s">
        <v>49</v>
      </c>
      <c r="M1" s="66"/>
      <c r="N1" s="65" t="s">
        <v>56</v>
      </c>
      <c r="O1" s="66"/>
      <c r="P1" s="63" t="s">
        <v>2</v>
      </c>
      <c r="Q1" s="67" t="s">
        <v>3</v>
      </c>
      <c r="R1" s="68"/>
      <c r="S1" s="68"/>
      <c r="T1" s="68"/>
      <c r="U1" s="69"/>
      <c r="V1" s="88" t="s">
        <v>59</v>
      </c>
      <c r="W1" s="89"/>
      <c r="X1" s="89"/>
      <c r="Y1" s="89"/>
      <c r="Z1" s="90"/>
    </row>
    <row r="2" spans="1:26" s="91" customFormat="1" ht="15.75" customHeight="1">
      <c r="A2" s="74"/>
      <c r="B2" s="75"/>
      <c r="C2" s="79"/>
      <c r="D2" s="70">
        <v>45782</v>
      </c>
      <c r="E2" s="71"/>
      <c r="F2" s="70">
        <v>45789</v>
      </c>
      <c r="G2" s="71"/>
      <c r="H2" s="70">
        <v>45796</v>
      </c>
      <c r="I2" s="71"/>
      <c r="J2" s="70">
        <v>45803</v>
      </c>
      <c r="K2" s="71"/>
      <c r="L2" s="70">
        <v>45810</v>
      </c>
      <c r="M2" s="71"/>
      <c r="N2" s="70">
        <v>45817</v>
      </c>
      <c r="O2" s="71"/>
      <c r="P2" s="64"/>
      <c r="Q2" s="63" t="s">
        <v>4</v>
      </c>
      <c r="R2" s="84" t="s">
        <v>5</v>
      </c>
      <c r="S2" s="86" t="s">
        <v>6</v>
      </c>
      <c r="T2" s="80" t="s">
        <v>7</v>
      </c>
      <c r="U2" s="82" t="s">
        <v>8</v>
      </c>
      <c r="V2" s="92" t="s">
        <v>4</v>
      </c>
      <c r="W2" s="92" t="s">
        <v>5</v>
      </c>
      <c r="X2" s="92" t="s">
        <v>6</v>
      </c>
      <c r="Y2" s="92" t="s">
        <v>7</v>
      </c>
      <c r="Z2" s="92" t="s">
        <v>8</v>
      </c>
    </row>
    <row r="3" spans="1:26" s="91" customFormat="1" ht="29.1" customHeight="1" thickBot="1">
      <c r="A3" s="76"/>
      <c r="B3" s="77"/>
      <c r="C3" s="79"/>
      <c r="D3" s="1" t="s">
        <v>9</v>
      </c>
      <c r="E3" s="2" t="s">
        <v>10</v>
      </c>
      <c r="F3" s="1" t="s">
        <v>9</v>
      </c>
      <c r="G3" s="2" t="s">
        <v>10</v>
      </c>
      <c r="H3" s="1" t="s">
        <v>9</v>
      </c>
      <c r="I3" s="2" t="s">
        <v>10</v>
      </c>
      <c r="J3" s="1" t="s">
        <v>9</v>
      </c>
      <c r="K3" s="2" t="s">
        <v>10</v>
      </c>
      <c r="L3" s="1" t="s">
        <v>9</v>
      </c>
      <c r="M3" s="2" t="s">
        <v>10</v>
      </c>
      <c r="N3" s="1" t="s">
        <v>9</v>
      </c>
      <c r="O3" s="2" t="s">
        <v>10</v>
      </c>
      <c r="P3" s="64"/>
      <c r="Q3" s="64"/>
      <c r="R3" s="85"/>
      <c r="S3" s="87"/>
      <c r="T3" s="81"/>
      <c r="U3" s="83"/>
      <c r="V3" s="93"/>
      <c r="W3" s="93"/>
      <c r="X3" s="93"/>
      <c r="Y3" s="93"/>
      <c r="Z3" s="93"/>
    </row>
    <row r="4" spans="1:26" ht="15.95" customHeight="1">
      <c r="A4" s="3" t="s">
        <v>15</v>
      </c>
      <c r="B4" s="4" t="s">
        <v>16</v>
      </c>
      <c r="C4" s="5">
        <v>22</v>
      </c>
      <c r="D4" s="55" t="s">
        <v>45</v>
      </c>
      <c r="E4" s="56"/>
      <c r="F4" s="6">
        <v>53</v>
      </c>
      <c r="G4" s="7">
        <v>23</v>
      </c>
      <c r="H4" s="55" t="s">
        <v>45</v>
      </c>
      <c r="I4" s="56"/>
      <c r="J4" s="6"/>
      <c r="K4" s="7"/>
      <c r="L4" s="6"/>
      <c r="M4" s="7"/>
      <c r="N4" s="6">
        <v>57</v>
      </c>
      <c r="O4" s="7">
        <v>19</v>
      </c>
      <c r="P4" s="8">
        <f>F4+J4+L4+N4</f>
        <v>110</v>
      </c>
      <c r="Q4" s="8">
        <f>COUNTIF(D4:N4,"&gt;30")</f>
        <v>2</v>
      </c>
      <c r="R4" s="43"/>
      <c r="S4" s="7"/>
      <c r="T4" s="44">
        <f>SUMIF(G4:O4, "&lt;30")+R4+S4</f>
        <v>42</v>
      </c>
      <c r="U4" s="35">
        <f>T4/Q4</f>
        <v>21</v>
      </c>
      <c r="V4" s="94"/>
      <c r="W4" s="44"/>
      <c r="X4" s="44"/>
      <c r="Y4" s="8"/>
      <c r="Z4" s="95" t="s">
        <v>60</v>
      </c>
    </row>
    <row r="5" spans="1:26">
      <c r="A5" s="9" t="s">
        <v>11</v>
      </c>
      <c r="B5" s="10" t="s">
        <v>12</v>
      </c>
      <c r="C5" s="11">
        <v>15</v>
      </c>
      <c r="D5" s="57"/>
      <c r="E5" s="58"/>
      <c r="F5" s="15">
        <v>42</v>
      </c>
      <c r="G5" s="13">
        <v>27</v>
      </c>
      <c r="H5" s="57"/>
      <c r="I5" s="58"/>
      <c r="J5" s="15"/>
      <c r="K5" s="13"/>
      <c r="L5" s="15">
        <v>54</v>
      </c>
      <c r="M5" s="13">
        <v>15</v>
      </c>
      <c r="N5" s="15"/>
      <c r="O5" s="13"/>
      <c r="P5" s="14">
        <f>F5+J5+L5+N5</f>
        <v>96</v>
      </c>
      <c r="Q5" s="14">
        <f>COUNTIF(D5:N5,"&gt;30")</f>
        <v>2</v>
      </c>
      <c r="R5" s="45"/>
      <c r="S5" s="13"/>
      <c r="T5" s="46">
        <f>SUMIF(G5:O5, "&lt;30")+R5+S5</f>
        <v>42</v>
      </c>
      <c r="U5" s="36">
        <f>T5/Q5</f>
        <v>21</v>
      </c>
      <c r="V5" s="96"/>
      <c r="W5" s="46"/>
      <c r="X5" s="46"/>
      <c r="Y5" s="14"/>
      <c r="Z5" s="97"/>
    </row>
    <row r="6" spans="1:26">
      <c r="A6" s="9" t="s">
        <v>13</v>
      </c>
      <c r="B6" s="10" t="s">
        <v>14</v>
      </c>
      <c r="C6" s="11">
        <v>13</v>
      </c>
      <c r="D6" s="57"/>
      <c r="E6" s="58"/>
      <c r="F6" s="12">
        <v>42</v>
      </c>
      <c r="G6" s="13">
        <v>25</v>
      </c>
      <c r="H6" s="57"/>
      <c r="I6" s="58"/>
      <c r="J6" s="12"/>
      <c r="K6" s="13"/>
      <c r="L6" s="47">
        <v>51</v>
      </c>
      <c r="M6" s="13">
        <v>16</v>
      </c>
      <c r="N6" s="47"/>
      <c r="O6" s="13"/>
      <c r="P6" s="14">
        <f>F6+J6+L6+N6</f>
        <v>93</v>
      </c>
      <c r="Q6" s="14">
        <f>COUNTIF(D6:N6,"&gt;30")</f>
        <v>2</v>
      </c>
      <c r="R6" s="45">
        <v>1</v>
      </c>
      <c r="S6" s="13"/>
      <c r="T6" s="46">
        <f>SUMIF(G6:O6, "&lt;30")+R6+S6</f>
        <v>42</v>
      </c>
      <c r="U6" s="36">
        <f>T6/Q6</f>
        <v>21</v>
      </c>
      <c r="V6" s="96"/>
      <c r="W6" s="46"/>
      <c r="X6" s="46"/>
      <c r="Y6" s="14"/>
      <c r="Z6" s="97"/>
    </row>
    <row r="7" spans="1:26">
      <c r="A7" s="9" t="s">
        <v>13</v>
      </c>
      <c r="B7" s="10" t="s">
        <v>17</v>
      </c>
      <c r="C7" s="11">
        <v>8</v>
      </c>
      <c r="D7" s="57"/>
      <c r="E7" s="58"/>
      <c r="F7" s="16">
        <v>45</v>
      </c>
      <c r="G7" s="13">
        <v>17</v>
      </c>
      <c r="H7" s="57"/>
      <c r="I7" s="58"/>
      <c r="J7" s="16"/>
      <c r="K7" s="13"/>
      <c r="L7" s="16">
        <v>43</v>
      </c>
      <c r="M7" s="13">
        <v>19</v>
      </c>
      <c r="N7" s="61">
        <v>41</v>
      </c>
      <c r="O7" s="13">
        <v>21</v>
      </c>
      <c r="P7" s="14">
        <f>F7+J7+L7+N7</f>
        <v>129</v>
      </c>
      <c r="Q7" s="14">
        <f>COUNTIF(D7:N7,"&gt;30")</f>
        <v>3</v>
      </c>
      <c r="R7" s="45">
        <v>1</v>
      </c>
      <c r="S7" s="13">
        <v>3</v>
      </c>
      <c r="T7" s="46">
        <f>SUMIF(G7:O7, "&lt;30")+R7+S7</f>
        <v>61</v>
      </c>
      <c r="U7" s="36">
        <f>T7/Q7</f>
        <v>20.333333333333332</v>
      </c>
      <c r="V7" s="96"/>
      <c r="W7" s="46"/>
      <c r="X7" s="46"/>
      <c r="Y7" s="14"/>
      <c r="Z7" s="97"/>
    </row>
    <row r="8" spans="1:26">
      <c r="A8" s="9" t="s">
        <v>40</v>
      </c>
      <c r="B8" s="10" t="s">
        <v>41</v>
      </c>
      <c r="C8" s="11">
        <v>15</v>
      </c>
      <c r="D8" s="57"/>
      <c r="E8" s="58"/>
      <c r="F8" s="15"/>
      <c r="G8" s="13"/>
      <c r="H8" s="57"/>
      <c r="I8" s="58"/>
      <c r="J8" s="15">
        <v>52</v>
      </c>
      <c r="K8" s="13">
        <v>17</v>
      </c>
      <c r="L8" s="15"/>
      <c r="M8" s="13"/>
      <c r="N8" s="15">
        <v>46</v>
      </c>
      <c r="O8" s="13">
        <v>23</v>
      </c>
      <c r="P8" s="14">
        <f>F8+J8+L8+N8</f>
        <v>98</v>
      </c>
      <c r="Q8" s="14">
        <f>COUNTIF(D8:N8,"&gt;30")</f>
        <v>2</v>
      </c>
      <c r="R8" s="45"/>
      <c r="S8" s="13"/>
      <c r="T8" s="46">
        <f>SUMIF(G8:O8, "&lt;30")+R8+S8</f>
        <v>40</v>
      </c>
      <c r="U8" s="36">
        <f>T8/Q8</f>
        <v>20</v>
      </c>
      <c r="V8" s="98"/>
      <c r="W8" s="46"/>
      <c r="X8" s="46"/>
      <c r="Y8" s="14"/>
      <c r="Z8" s="97"/>
    </row>
    <row r="9" spans="1:26">
      <c r="A9" s="9" t="s">
        <v>19</v>
      </c>
      <c r="B9" s="10" t="s">
        <v>20</v>
      </c>
      <c r="C9" s="11">
        <v>8</v>
      </c>
      <c r="D9" s="57"/>
      <c r="E9" s="58"/>
      <c r="F9" s="15">
        <v>46</v>
      </c>
      <c r="G9" s="13">
        <v>16</v>
      </c>
      <c r="H9" s="57"/>
      <c r="I9" s="58"/>
      <c r="J9" s="15"/>
      <c r="K9" s="13"/>
      <c r="L9" s="15"/>
      <c r="M9" s="13"/>
      <c r="N9" s="15">
        <v>42</v>
      </c>
      <c r="O9" s="13">
        <v>20</v>
      </c>
      <c r="P9" s="14">
        <f>F9+J9+L9+N9</f>
        <v>88</v>
      </c>
      <c r="Q9" s="14">
        <f>COUNTIF(D9:N9,"&gt;30")</f>
        <v>2</v>
      </c>
      <c r="R9" s="45"/>
      <c r="S9" s="13">
        <v>1</v>
      </c>
      <c r="T9" s="46">
        <f>SUMIF(G9:O9, "&lt;30")+R9+S9</f>
        <v>37</v>
      </c>
      <c r="U9" s="36">
        <f>T9/Q9</f>
        <v>18.5</v>
      </c>
      <c r="V9" s="99"/>
      <c r="W9" s="46"/>
      <c r="X9" s="46"/>
      <c r="Y9" s="14"/>
      <c r="Z9" s="97"/>
    </row>
    <row r="10" spans="1:26">
      <c r="A10" s="9" t="s">
        <v>29</v>
      </c>
      <c r="B10" s="10" t="s">
        <v>30</v>
      </c>
      <c r="C10" s="11">
        <v>10</v>
      </c>
      <c r="D10" s="57"/>
      <c r="E10" s="58"/>
      <c r="F10" s="15">
        <v>46</v>
      </c>
      <c r="G10" s="13">
        <v>18</v>
      </c>
      <c r="H10" s="57"/>
      <c r="I10" s="58"/>
      <c r="J10" s="15"/>
      <c r="K10" s="13"/>
      <c r="L10" s="15">
        <v>46</v>
      </c>
      <c r="M10" s="13">
        <v>18</v>
      </c>
      <c r="N10" s="15">
        <v>46</v>
      </c>
      <c r="O10" s="13">
        <v>18</v>
      </c>
      <c r="P10" s="14">
        <f>F10+J10+L10+N10</f>
        <v>138</v>
      </c>
      <c r="Q10" s="14">
        <f>COUNTIF(D10:N10,"&gt;30")</f>
        <v>3</v>
      </c>
      <c r="R10" s="48"/>
      <c r="S10" s="37"/>
      <c r="T10" s="46">
        <f>SUMIF(G10:O10, "&lt;30")+R10+S10</f>
        <v>54</v>
      </c>
      <c r="U10" s="36">
        <f>T10/Q10</f>
        <v>18</v>
      </c>
      <c r="V10" s="100"/>
      <c r="W10" s="14"/>
      <c r="X10" s="14"/>
      <c r="Y10" s="14"/>
      <c r="Z10" s="97"/>
    </row>
    <row r="11" spans="1:26">
      <c r="A11" s="9" t="s">
        <v>24</v>
      </c>
      <c r="B11" s="10" t="s">
        <v>25</v>
      </c>
      <c r="C11" s="11">
        <v>21</v>
      </c>
      <c r="D11" s="57"/>
      <c r="E11" s="58"/>
      <c r="F11" s="17">
        <v>61</v>
      </c>
      <c r="G11" s="13">
        <v>14</v>
      </c>
      <c r="H11" s="57"/>
      <c r="I11" s="58"/>
      <c r="J11" s="17">
        <v>56</v>
      </c>
      <c r="K11" s="13">
        <v>19</v>
      </c>
      <c r="L11" s="47">
        <v>60</v>
      </c>
      <c r="M11" s="13">
        <v>15</v>
      </c>
      <c r="N11" s="47">
        <v>56</v>
      </c>
      <c r="O11" s="13">
        <v>19</v>
      </c>
      <c r="P11" s="14">
        <f>F11+J11+L11+N11</f>
        <v>233</v>
      </c>
      <c r="Q11" s="14">
        <f>COUNTIF(D11:N11,"&gt;30")</f>
        <v>4</v>
      </c>
      <c r="R11" s="45">
        <v>2</v>
      </c>
      <c r="S11" s="13"/>
      <c r="T11" s="46">
        <f>SUMIF(G11:O11, "&lt;30")+R11+S11</f>
        <v>69</v>
      </c>
      <c r="U11" s="36">
        <f>T11/Q11</f>
        <v>17.25</v>
      </c>
      <c r="V11" s="96"/>
      <c r="W11" s="46"/>
      <c r="X11" s="46"/>
      <c r="Y11" s="14"/>
      <c r="Z11" s="97"/>
    </row>
    <row r="12" spans="1:26">
      <c r="A12" s="9" t="s">
        <v>18</v>
      </c>
      <c r="B12" s="10" t="s">
        <v>12</v>
      </c>
      <c r="C12" s="11">
        <v>22</v>
      </c>
      <c r="D12" s="57"/>
      <c r="E12" s="58"/>
      <c r="F12" s="15">
        <v>59</v>
      </c>
      <c r="G12" s="13">
        <v>17</v>
      </c>
      <c r="H12" s="57"/>
      <c r="I12" s="58"/>
      <c r="J12" s="15"/>
      <c r="K12" s="13"/>
      <c r="L12" s="15"/>
      <c r="M12" s="13"/>
      <c r="N12" s="15"/>
      <c r="O12" s="13"/>
      <c r="P12" s="14">
        <f>F12+J12+L12+N12</f>
        <v>59</v>
      </c>
      <c r="Q12" s="14">
        <f>COUNTIF(D12:N12,"&gt;30")</f>
        <v>1</v>
      </c>
      <c r="R12" s="45"/>
      <c r="S12" s="13"/>
      <c r="T12" s="46">
        <f>SUMIF(G12:O12, "&lt;30")+R12+S12</f>
        <v>17</v>
      </c>
      <c r="U12" s="36">
        <f>T12/Q12</f>
        <v>17</v>
      </c>
      <c r="V12" s="99"/>
      <c r="W12" s="46"/>
      <c r="X12" s="46"/>
      <c r="Y12" s="14"/>
      <c r="Z12" s="97"/>
    </row>
    <row r="13" spans="1:26">
      <c r="A13" s="9" t="s">
        <v>22</v>
      </c>
      <c r="B13" s="10" t="s">
        <v>23</v>
      </c>
      <c r="C13" s="11">
        <v>18</v>
      </c>
      <c r="D13" s="57"/>
      <c r="E13" s="58"/>
      <c r="F13" s="15">
        <v>56</v>
      </c>
      <c r="G13" s="13">
        <v>16</v>
      </c>
      <c r="H13" s="57"/>
      <c r="I13" s="58"/>
      <c r="J13" s="15"/>
      <c r="K13" s="13"/>
      <c r="L13" s="15"/>
      <c r="M13" s="13"/>
      <c r="N13" s="15"/>
      <c r="O13" s="13"/>
      <c r="P13" s="14">
        <f>F13+J13+L13+N13</f>
        <v>56</v>
      </c>
      <c r="Q13" s="14">
        <f>COUNTIF(D13:N13,"&gt;30")</f>
        <v>1</v>
      </c>
      <c r="R13" s="45"/>
      <c r="S13" s="13"/>
      <c r="T13" s="46">
        <f>SUMIF(G13:O13, "&lt;30")+R13+S13</f>
        <v>16</v>
      </c>
      <c r="U13" s="36">
        <f>T13/Q13</f>
        <v>16</v>
      </c>
      <c r="V13" s="99"/>
      <c r="W13" s="46"/>
      <c r="X13" s="46"/>
      <c r="Y13" s="14"/>
      <c r="Z13" s="97"/>
    </row>
    <row r="14" spans="1:26">
      <c r="A14" s="9" t="s">
        <v>21</v>
      </c>
      <c r="B14" s="10" t="s">
        <v>16</v>
      </c>
      <c r="C14" s="11">
        <v>17</v>
      </c>
      <c r="D14" s="57"/>
      <c r="E14" s="58"/>
      <c r="F14" s="15">
        <v>55</v>
      </c>
      <c r="G14" s="13">
        <v>16</v>
      </c>
      <c r="H14" s="57"/>
      <c r="I14" s="58"/>
      <c r="J14" s="15"/>
      <c r="K14" s="13"/>
      <c r="L14" s="15">
        <v>56</v>
      </c>
      <c r="M14" s="13">
        <v>15</v>
      </c>
      <c r="N14" s="15">
        <v>57</v>
      </c>
      <c r="O14" s="13">
        <v>14</v>
      </c>
      <c r="P14" s="14">
        <f>F14+J14+L14+N14</f>
        <v>168</v>
      </c>
      <c r="Q14" s="14">
        <f>COUNTIF(D14:N14,"&gt;30")</f>
        <v>3</v>
      </c>
      <c r="R14" s="45"/>
      <c r="S14" s="13"/>
      <c r="T14" s="46">
        <f>SUMIF(G14:O14, "&lt;30")+R14+S14</f>
        <v>45</v>
      </c>
      <c r="U14" s="36">
        <f>T14/Q14</f>
        <v>15</v>
      </c>
      <c r="V14" s="99"/>
      <c r="W14" s="46"/>
      <c r="X14" s="46"/>
      <c r="Y14" s="14"/>
      <c r="Z14" s="97"/>
    </row>
    <row r="15" spans="1:26">
      <c r="A15" s="9" t="s">
        <v>26</v>
      </c>
      <c r="B15" s="10" t="s">
        <v>27</v>
      </c>
      <c r="C15" s="11" t="s">
        <v>28</v>
      </c>
      <c r="D15" s="57"/>
      <c r="E15" s="58"/>
      <c r="F15" s="15">
        <v>41</v>
      </c>
      <c r="G15" s="13"/>
      <c r="H15" s="57"/>
      <c r="I15" s="58"/>
      <c r="J15" s="15"/>
      <c r="K15" s="13"/>
      <c r="L15" s="15"/>
      <c r="M15" s="13"/>
      <c r="N15" s="62">
        <v>48</v>
      </c>
      <c r="O15" s="13"/>
      <c r="P15" s="14">
        <f>F15+J15+L15+N15</f>
        <v>89</v>
      </c>
      <c r="Q15" s="14">
        <f>COUNTIF(D15:N15,"&gt;30")</f>
        <v>2</v>
      </c>
      <c r="R15" s="45">
        <v>1</v>
      </c>
      <c r="S15" s="13"/>
      <c r="T15" s="46">
        <f>SUMIF(G15:O15, "&lt;30")+R15+S15</f>
        <v>1</v>
      </c>
      <c r="U15" s="36"/>
      <c r="V15" s="99"/>
      <c r="W15" s="46"/>
      <c r="X15" s="46"/>
      <c r="Y15" s="14"/>
      <c r="Z15" s="97"/>
    </row>
    <row r="16" spans="1:26">
      <c r="A16" s="9" t="s">
        <v>50</v>
      </c>
      <c r="B16" s="10" t="s">
        <v>51</v>
      </c>
      <c r="C16" s="11" t="s">
        <v>28</v>
      </c>
      <c r="D16" s="57"/>
      <c r="E16" s="58"/>
      <c r="F16" s="19"/>
      <c r="G16" s="13"/>
      <c r="H16" s="57"/>
      <c r="I16" s="58"/>
      <c r="J16" s="19"/>
      <c r="K16" s="13"/>
      <c r="L16" s="54">
        <v>50</v>
      </c>
      <c r="M16" s="13"/>
      <c r="N16" s="54"/>
      <c r="O16" s="13"/>
      <c r="P16" s="14">
        <f>F16+J16+L16+N16</f>
        <v>50</v>
      </c>
      <c r="Q16" s="14">
        <f>COUNTIF(D16:N16,"&gt;30")</f>
        <v>1</v>
      </c>
      <c r="R16" s="45">
        <v>1</v>
      </c>
      <c r="S16" s="13"/>
      <c r="T16" s="46">
        <f>SUMIF(G16:O16, "&lt;30")+R16+S16</f>
        <v>1</v>
      </c>
      <c r="U16" s="36"/>
      <c r="V16" s="96"/>
      <c r="W16" s="46"/>
      <c r="X16" s="46"/>
      <c r="Y16" s="14"/>
      <c r="Z16" s="97"/>
    </row>
    <row r="17" spans="1:26">
      <c r="A17" s="9" t="s">
        <v>31</v>
      </c>
      <c r="B17" s="10" t="s">
        <v>32</v>
      </c>
      <c r="C17" s="11" t="s">
        <v>28</v>
      </c>
      <c r="D17" s="57"/>
      <c r="E17" s="58"/>
      <c r="F17" s="15">
        <v>51</v>
      </c>
      <c r="G17" s="13"/>
      <c r="H17" s="57"/>
      <c r="I17" s="58"/>
      <c r="J17" s="15"/>
      <c r="K17" s="13"/>
      <c r="L17" s="15"/>
      <c r="M17" s="13"/>
      <c r="N17" s="15">
        <v>51</v>
      </c>
      <c r="O17" s="13"/>
      <c r="P17" s="14">
        <f>F17+J17+L17+N17</f>
        <v>102</v>
      </c>
      <c r="Q17" s="14">
        <f>COUNTIF(D17:N17,"&gt;30")</f>
        <v>2</v>
      </c>
      <c r="R17" s="45"/>
      <c r="S17" s="13"/>
      <c r="T17" s="46">
        <f>SUMIF(G17:O17, "&lt;30")+R17+S17</f>
        <v>0</v>
      </c>
      <c r="U17" s="36"/>
      <c r="V17" s="99"/>
      <c r="W17" s="46"/>
      <c r="X17" s="46"/>
      <c r="Y17" s="14"/>
      <c r="Z17" s="97"/>
    </row>
    <row r="18" spans="1:26">
      <c r="A18" s="9" t="s">
        <v>57</v>
      </c>
      <c r="B18" s="10" t="s">
        <v>58</v>
      </c>
      <c r="C18" s="11" t="s">
        <v>28</v>
      </c>
      <c r="D18" s="57"/>
      <c r="E18" s="58"/>
      <c r="F18" s="18"/>
      <c r="G18" s="13"/>
      <c r="H18" s="57"/>
      <c r="I18" s="58"/>
      <c r="J18" s="18"/>
      <c r="K18" s="13"/>
      <c r="L18" s="18"/>
      <c r="M18" s="13"/>
      <c r="N18" s="47">
        <v>45</v>
      </c>
      <c r="O18" s="13"/>
      <c r="P18" s="14">
        <f>F18+J18+L18+N18</f>
        <v>45</v>
      </c>
      <c r="Q18" s="14">
        <f>COUNTIF(D18:N18,"&gt;30")</f>
        <v>1</v>
      </c>
      <c r="R18" s="45"/>
      <c r="S18" s="13"/>
      <c r="T18" s="46">
        <v>0</v>
      </c>
      <c r="U18" s="36"/>
      <c r="V18" s="96"/>
      <c r="W18" s="46"/>
      <c r="X18" s="46"/>
      <c r="Y18" s="14"/>
      <c r="Z18" s="97"/>
    </row>
    <row r="19" spans="1:26">
      <c r="A19" s="9" t="s">
        <v>33</v>
      </c>
      <c r="B19" s="10" t="s">
        <v>34</v>
      </c>
      <c r="C19" s="11">
        <v>13</v>
      </c>
      <c r="D19" s="57"/>
      <c r="E19" s="58"/>
      <c r="F19" s="18"/>
      <c r="G19" s="13"/>
      <c r="H19" s="57"/>
      <c r="I19" s="58"/>
      <c r="J19" s="18"/>
      <c r="K19" s="13"/>
      <c r="L19" s="18"/>
      <c r="M19" s="13"/>
      <c r="N19" s="18"/>
      <c r="O19" s="13"/>
      <c r="P19" s="14">
        <f>F19+J19+L19+N19</f>
        <v>0</v>
      </c>
      <c r="Q19" s="14">
        <f>COUNTIF(D19:N19,"&gt;30")</f>
        <v>0</v>
      </c>
      <c r="R19" s="45"/>
      <c r="S19" s="13"/>
      <c r="T19" s="46">
        <f>SUMIF(G19:O19, "&lt;30")+R19+S19</f>
        <v>0</v>
      </c>
      <c r="U19" s="36"/>
      <c r="V19" s="96"/>
      <c r="W19" s="46"/>
      <c r="X19" s="46"/>
      <c r="Y19" s="14"/>
      <c r="Z19" s="97"/>
    </row>
    <row r="20" spans="1:26">
      <c r="A20" s="9" t="s">
        <v>35</v>
      </c>
      <c r="B20" s="10" t="s">
        <v>36</v>
      </c>
      <c r="C20" s="11">
        <v>2</v>
      </c>
      <c r="D20" s="57"/>
      <c r="E20" s="58"/>
      <c r="F20" s="19"/>
      <c r="G20" s="13"/>
      <c r="H20" s="57"/>
      <c r="I20" s="58"/>
      <c r="J20" s="19"/>
      <c r="K20" s="13"/>
      <c r="L20" s="19"/>
      <c r="M20" s="13"/>
      <c r="N20" s="19"/>
      <c r="O20" s="13"/>
      <c r="P20" s="14">
        <f>F20+J20+L20+N20</f>
        <v>0</v>
      </c>
      <c r="Q20" s="14">
        <f>COUNTIF(D20:N20,"&gt;30")</f>
        <v>0</v>
      </c>
      <c r="R20" s="45"/>
      <c r="S20" s="13"/>
      <c r="T20" s="46">
        <f>SUMIF(G20:O20, "&lt;30")+R20+S20</f>
        <v>0</v>
      </c>
      <c r="U20" s="36"/>
      <c r="V20" s="96"/>
      <c r="W20" s="46"/>
      <c r="X20" s="46"/>
      <c r="Y20" s="14"/>
      <c r="Z20" s="97"/>
    </row>
    <row r="21" spans="1:26">
      <c r="A21" s="9" t="s">
        <v>37</v>
      </c>
      <c r="B21" s="10" t="s">
        <v>38</v>
      </c>
      <c r="C21" s="11">
        <v>15</v>
      </c>
      <c r="D21" s="57"/>
      <c r="E21" s="58"/>
      <c r="F21" s="15"/>
      <c r="G21" s="13"/>
      <c r="H21" s="57"/>
      <c r="I21" s="58"/>
      <c r="J21" s="15"/>
      <c r="K21" s="13"/>
      <c r="L21" s="15"/>
      <c r="M21" s="13"/>
      <c r="N21" s="15"/>
      <c r="O21" s="13"/>
      <c r="P21" s="14">
        <f>F21+J21+L21+N21</f>
        <v>0</v>
      </c>
      <c r="Q21" s="14">
        <f>COUNTIF(D21:N21,"&gt;30")</f>
        <v>0</v>
      </c>
      <c r="R21" s="45"/>
      <c r="S21" s="13"/>
      <c r="T21" s="46">
        <f>SUMIF(G21:O21, "&lt;30")+R21+S21</f>
        <v>0</v>
      </c>
      <c r="U21" s="36"/>
      <c r="V21" s="99"/>
      <c r="W21" s="46"/>
      <c r="X21" s="46"/>
      <c r="Y21" s="14"/>
      <c r="Z21" s="97"/>
    </row>
    <row r="22" spans="1:26" ht="16.5" thickBot="1">
      <c r="A22" s="20" t="s">
        <v>31</v>
      </c>
      <c r="B22" s="21" t="s">
        <v>39</v>
      </c>
      <c r="C22" s="22">
        <v>11</v>
      </c>
      <c r="D22" s="59"/>
      <c r="E22" s="60"/>
      <c r="F22" s="101"/>
      <c r="G22" s="23"/>
      <c r="H22" s="59"/>
      <c r="I22" s="60"/>
      <c r="J22" s="101"/>
      <c r="K22" s="23"/>
      <c r="L22" s="101"/>
      <c r="M22" s="23"/>
      <c r="N22" s="101"/>
      <c r="O22" s="23"/>
      <c r="P22" s="24">
        <f>F22+J22+L22+N22</f>
        <v>0</v>
      </c>
      <c r="Q22" s="24">
        <f>COUNTIF(D22:N22,"&gt;30")</f>
        <v>0</v>
      </c>
      <c r="R22" s="49"/>
      <c r="S22" s="23"/>
      <c r="T22" s="50">
        <f>SUMIF(G22:O22, "&lt;30")+R22+S22</f>
        <v>0</v>
      </c>
      <c r="U22" s="38"/>
      <c r="V22" s="102"/>
      <c r="W22" s="50"/>
      <c r="X22" s="50"/>
      <c r="Y22" s="24"/>
      <c r="Z22" s="103"/>
    </row>
    <row r="23" spans="1:26" s="25" customFormat="1" ht="16.5" thickBot="1">
      <c r="A23" s="39"/>
      <c r="B23" s="40"/>
      <c r="C23" s="40"/>
      <c r="D23" s="41"/>
      <c r="E23" s="41"/>
      <c r="F23" s="41">
        <f>AVERAGEIF(F4:F22,"&gt;0")</f>
        <v>49.75</v>
      </c>
      <c r="G23" s="41"/>
      <c r="H23" s="41"/>
      <c r="I23" s="41"/>
      <c r="J23" s="41">
        <f>AVERAGEIF(J4:J22,"&gt;0")</f>
        <v>54</v>
      </c>
      <c r="K23" s="41"/>
      <c r="L23" s="41">
        <f>AVERAGEIF(L4:L22,"&gt;0")</f>
        <v>51.428571428571431</v>
      </c>
      <c r="M23" s="41"/>
      <c r="N23" s="41">
        <f>AVERAGEIF(N4:N22,"&gt;0")</f>
        <v>48.9</v>
      </c>
      <c r="O23" s="41"/>
      <c r="P23" s="42"/>
    </row>
    <row r="24" spans="1:26">
      <c r="C24" s="26"/>
      <c r="P24" s="27"/>
      <c r="Q24" s="27"/>
      <c r="R24" s="28"/>
      <c r="S24" s="28"/>
      <c r="T24" s="27"/>
      <c r="U24" s="29"/>
    </row>
    <row r="25" spans="1:26">
      <c r="C25" s="51" t="s">
        <v>42</v>
      </c>
      <c r="D25" s="30" t="s">
        <v>52</v>
      </c>
      <c r="F25" s="30"/>
      <c r="H25" s="30"/>
      <c r="J25" s="30"/>
      <c r="L25" s="30"/>
      <c r="N25" s="30"/>
    </row>
    <row r="26" spans="1:26">
      <c r="C26" s="52" t="s">
        <v>43</v>
      </c>
      <c r="D26" s="31" t="s">
        <v>53</v>
      </c>
      <c r="F26" s="31"/>
      <c r="H26" s="31"/>
      <c r="J26" s="31"/>
      <c r="L26" s="31"/>
      <c r="N26" s="31"/>
      <c r="P26" s="32"/>
    </row>
    <row r="27" spans="1:26">
      <c r="C27" s="53" t="s">
        <v>48</v>
      </c>
      <c r="D27" s="33" t="s">
        <v>54</v>
      </c>
      <c r="E27" s="34"/>
      <c r="F27" s="33"/>
      <c r="G27" s="34"/>
      <c r="H27" s="33"/>
      <c r="I27" s="34"/>
      <c r="J27" s="33"/>
      <c r="K27" s="34"/>
      <c r="L27" s="33"/>
      <c r="M27" s="34"/>
      <c r="N27" s="33"/>
      <c r="O27" s="34"/>
    </row>
  </sheetData>
  <mergeCells count="27">
    <mergeCell ref="V1:Z1"/>
    <mergeCell ref="V2:V3"/>
    <mergeCell ref="W2:W3"/>
    <mergeCell ref="X2:X3"/>
    <mergeCell ref="Y2:Y3"/>
    <mergeCell ref="Z2:Z3"/>
    <mergeCell ref="H1:I1"/>
    <mergeCell ref="H2:I2"/>
    <mergeCell ref="J1:K1"/>
    <mergeCell ref="T2:T3"/>
    <mergeCell ref="U2:U3"/>
    <mergeCell ref="L1:M1"/>
    <mergeCell ref="L2:M2"/>
    <mergeCell ref="R2:R3"/>
    <mergeCell ref="S2:S3"/>
    <mergeCell ref="J2:K2"/>
    <mergeCell ref="A1:B3"/>
    <mergeCell ref="C1:C3"/>
    <mergeCell ref="D1:E1"/>
    <mergeCell ref="D2:E2"/>
    <mergeCell ref="F1:G1"/>
    <mergeCell ref="F2:G2"/>
    <mergeCell ref="Q2:Q3"/>
    <mergeCell ref="N1:O1"/>
    <mergeCell ref="P1:P3"/>
    <mergeCell ref="Q1:U1"/>
    <mergeCell ref="N2:O2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Hutter, Mark</cp:lastModifiedBy>
  <cp:lastPrinted>2025-06-10T23:51:38Z</cp:lastPrinted>
  <dcterms:created xsi:type="dcterms:W3CDTF">2025-05-15T01:18:57Z</dcterms:created>
  <dcterms:modified xsi:type="dcterms:W3CDTF">2025-06-16T15:11:29Z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