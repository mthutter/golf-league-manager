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F20929D6-00F3-5A48-AA0D-F168C0088495}" xr6:coauthVersionLast="47" xr6:coauthVersionMax="47" xr10:uidLastSave="{00000000-0000-0000-0000-000000000000}"/>
  <bookViews>
    <workbookView xWindow="44380" yWindow="148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1" l="1"/>
  <c r="V9" i="1"/>
  <c r="W9" i="1" s="1"/>
  <c r="V7" i="1"/>
  <c r="W7" i="1" s="1"/>
  <c r="V10" i="1"/>
  <c r="V5" i="1"/>
  <c r="W5" i="1" s="1"/>
  <c r="V11" i="1"/>
  <c r="W11" i="1" s="1"/>
  <c r="V13" i="1"/>
  <c r="W13" i="1" s="1"/>
  <c r="V12" i="1"/>
  <c r="W12" i="1" s="1"/>
  <c r="V18" i="1"/>
  <c r="W18" i="1" s="1"/>
  <c r="V19" i="1"/>
  <c r="W19" i="1" s="1"/>
  <c r="V20" i="1"/>
  <c r="W20" i="1" s="1"/>
  <c r="V14" i="1"/>
  <c r="W14" i="1" s="1"/>
  <c r="V21" i="1"/>
  <c r="W21" i="1" s="1"/>
  <c r="V17" i="1"/>
  <c r="V22" i="1"/>
  <c r="V8" i="1"/>
  <c r="W8" i="1" s="1"/>
  <c r="V16" i="1"/>
  <c r="V4" i="1"/>
  <c r="W4" i="1" s="1"/>
  <c r="V15" i="1"/>
  <c r="W15" i="1" s="1"/>
  <c r="S9" i="1"/>
  <c r="S7" i="1"/>
  <c r="S10" i="1"/>
  <c r="S5" i="1"/>
  <c r="S11" i="1"/>
  <c r="S13" i="1"/>
  <c r="S12" i="1"/>
  <c r="S18" i="1"/>
  <c r="S19" i="1"/>
  <c r="S20" i="1"/>
  <c r="S14" i="1"/>
  <c r="S21" i="1"/>
  <c r="S17" i="1"/>
  <c r="S22" i="1"/>
  <c r="S8" i="1"/>
  <c r="S16" i="1"/>
  <c r="S4" i="1"/>
  <c r="S15" i="1"/>
  <c r="R9" i="1"/>
  <c r="R7" i="1"/>
  <c r="R10" i="1"/>
  <c r="R5" i="1"/>
  <c r="R11" i="1"/>
  <c r="R13" i="1"/>
  <c r="R12" i="1"/>
  <c r="R18" i="1"/>
  <c r="R19" i="1"/>
  <c r="R20" i="1"/>
  <c r="R14" i="1"/>
  <c r="R21" i="1"/>
  <c r="R17" i="1"/>
  <c r="R22" i="1"/>
  <c r="R8" i="1"/>
  <c r="R16" i="1"/>
  <c r="R4" i="1"/>
  <c r="R15" i="1"/>
  <c r="V6" i="1"/>
  <c r="S6" i="1"/>
  <c r="R6" i="1"/>
  <c r="P23" i="1"/>
  <c r="W22" i="1" l="1"/>
  <c r="W10" i="1"/>
  <c r="W17" i="1"/>
  <c r="N23" i="1" l="1"/>
  <c r="L23" i="1"/>
  <c r="J23" i="1"/>
  <c r="F23" i="1"/>
  <c r="W6" i="1" l="1"/>
</calcChain>
</file>

<file path=xl/sharedStrings.xml><?xml version="1.0" encoding="utf-8"?>
<sst xmlns="http://schemas.openxmlformats.org/spreadsheetml/2006/main" count="83" uniqueCount="61">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</sst>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7" fillId="0" borderId="9" xfId="0" applyNumberFormat="1" applyFont="1" applyBorder="1" applyAlignment="1">
      <alignment horizontal="center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1" fontId="14" fillId="0" borderId="9" xfId="0" applyNumberFormat="1" applyFont="1" applyBorder="1" applyAlignment="1">
      <alignment horizontal="center"/>
    </xf>
    <xf numFmtId="1" fontId="8" fillId="0" borderId="20" xfId="0" applyNumberFormat="1" applyFon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1" fontId="5" fillId="0" borderId="9" xfId="0" applyNumberFormat="1" applyFont="1" applyBorder="1" applyAlignment="1">
      <alignment horizontal="center"/>
    </xf>
    <xf numFmtId="1" fontId="14" fillId="0" borderId="20" xfId="0" applyNumberFormat="1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B27"/>
  <sheetViews>
    <sheetView tabSelected="1" workbookViewId="0">
      <selection activeCell="AE22" sqref="AE22"/>
    </sheetView>
  </sheetViews>
  <sheetFormatPr baseColWidth="10" defaultColWidth="8" defaultRowHeight="16" x14ac:dyDescent="0.2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17" width="6.33203125" customWidth="1"/>
    <col min="18" max="18" width="6.83203125" customWidth="1"/>
    <col min="19" max="19" width="6.1640625" customWidth="1"/>
    <col min="20" max="20" width="5.83203125" customWidth="1"/>
    <col min="21" max="21" width="5.6640625" customWidth="1"/>
    <col min="22" max="22" width="5.5" customWidth="1"/>
    <col min="23" max="23" width="8" customWidth="1"/>
    <col min="24" max="24" width="7.33203125" hidden="1" customWidth="1"/>
    <col min="25" max="26" width="6" hidden="1" customWidth="1"/>
    <col min="27" max="27" width="7.33203125" hidden="1" customWidth="1"/>
    <col min="28" max="28" width="9.33203125" hidden="1" customWidth="1"/>
  </cols>
  <sheetData>
    <row r="1" spans="1:28" s="58" customFormat="1" ht="16.5" customHeight="1" thickBot="1" x14ac:dyDescent="0.25">
      <c r="A1" s="66" t="s">
        <v>0</v>
      </c>
      <c r="B1" s="67"/>
      <c r="C1" s="72" t="s">
        <v>54</v>
      </c>
      <c r="D1" s="74" t="s">
        <v>1</v>
      </c>
      <c r="E1" s="75"/>
      <c r="F1" s="74" t="s">
        <v>44</v>
      </c>
      <c r="G1" s="75"/>
      <c r="H1" s="74" t="s">
        <v>45</v>
      </c>
      <c r="I1" s="75"/>
      <c r="J1" s="74" t="s">
        <v>46</v>
      </c>
      <c r="K1" s="75"/>
      <c r="L1" s="74" t="s">
        <v>48</v>
      </c>
      <c r="M1" s="75"/>
      <c r="N1" s="74" t="s">
        <v>55</v>
      </c>
      <c r="O1" s="75"/>
      <c r="P1" s="74" t="s">
        <v>60</v>
      </c>
      <c r="Q1" s="75"/>
      <c r="R1" s="86" t="s">
        <v>2</v>
      </c>
      <c r="S1" s="88" t="s">
        <v>3</v>
      </c>
      <c r="T1" s="89"/>
      <c r="U1" s="89"/>
      <c r="V1" s="89"/>
      <c r="W1" s="90"/>
      <c r="X1" s="91" t="s">
        <v>58</v>
      </c>
      <c r="Y1" s="92"/>
      <c r="Z1" s="92"/>
      <c r="AA1" s="92"/>
      <c r="AB1" s="93"/>
    </row>
    <row r="2" spans="1:28" s="58" customFormat="1" ht="15.75" customHeight="1" x14ac:dyDescent="0.2">
      <c r="A2" s="68"/>
      <c r="B2" s="69"/>
      <c r="C2" s="73"/>
      <c r="D2" s="76">
        <v>45782</v>
      </c>
      <c r="E2" s="77"/>
      <c r="F2" s="76">
        <v>45789</v>
      </c>
      <c r="G2" s="77"/>
      <c r="H2" s="76">
        <v>45796</v>
      </c>
      <c r="I2" s="77"/>
      <c r="J2" s="76">
        <v>45803</v>
      </c>
      <c r="K2" s="77"/>
      <c r="L2" s="76">
        <v>45810</v>
      </c>
      <c r="M2" s="77"/>
      <c r="N2" s="76">
        <v>45817</v>
      </c>
      <c r="O2" s="77"/>
      <c r="P2" s="76">
        <v>45824</v>
      </c>
      <c r="Q2" s="77"/>
      <c r="R2" s="87"/>
      <c r="S2" s="86" t="s">
        <v>4</v>
      </c>
      <c r="T2" s="82" t="s">
        <v>5</v>
      </c>
      <c r="U2" s="84" t="s">
        <v>6</v>
      </c>
      <c r="V2" s="78" t="s">
        <v>7</v>
      </c>
      <c r="W2" s="80" t="s">
        <v>8</v>
      </c>
      <c r="X2" s="94" t="s">
        <v>4</v>
      </c>
      <c r="Y2" s="94" t="s">
        <v>5</v>
      </c>
      <c r="Z2" s="94" t="s">
        <v>6</v>
      </c>
      <c r="AA2" s="94" t="s">
        <v>7</v>
      </c>
      <c r="AB2" s="94" t="s">
        <v>8</v>
      </c>
    </row>
    <row r="3" spans="1:28" s="58" customFormat="1" ht="29" customHeight="1" thickBot="1" x14ac:dyDescent="0.25">
      <c r="A3" s="70"/>
      <c r="B3" s="71"/>
      <c r="C3" s="73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1" t="s">
        <v>9</v>
      </c>
      <c r="Q3" s="2" t="s">
        <v>10</v>
      </c>
      <c r="R3" s="87"/>
      <c r="S3" s="87"/>
      <c r="T3" s="83"/>
      <c r="U3" s="85"/>
      <c r="V3" s="79"/>
      <c r="W3" s="81"/>
      <c r="X3" s="95"/>
      <c r="Y3" s="95"/>
      <c r="Z3" s="95"/>
      <c r="AA3" s="95"/>
      <c r="AB3" s="95"/>
    </row>
    <row r="4" spans="1:28" ht="16" customHeight="1" x14ac:dyDescent="0.2">
      <c r="A4" s="3" t="s">
        <v>37</v>
      </c>
      <c r="B4" s="4" t="s">
        <v>38</v>
      </c>
      <c r="C4" s="5">
        <v>15</v>
      </c>
      <c r="D4" s="50"/>
      <c r="E4" s="51"/>
      <c r="F4" s="6"/>
      <c r="G4" s="7"/>
      <c r="H4" s="50"/>
      <c r="I4" s="51"/>
      <c r="J4" s="6"/>
      <c r="K4" s="7"/>
      <c r="L4" s="6"/>
      <c r="M4" s="7"/>
      <c r="N4" s="6"/>
      <c r="O4" s="7"/>
      <c r="P4" s="6">
        <v>43</v>
      </c>
      <c r="Q4" s="7">
        <v>26</v>
      </c>
      <c r="R4" s="96">
        <f>F4+J4+L4+N4+P4</f>
        <v>43</v>
      </c>
      <c r="S4" s="8">
        <f>COUNTIF(D4:P4,"&gt;30")</f>
        <v>1</v>
      </c>
      <c r="T4" s="38"/>
      <c r="U4" s="7">
        <v>1</v>
      </c>
      <c r="V4" s="100">
        <f>SUMIF(G4:Q4, "&lt;30")+T4+U4</f>
        <v>27</v>
      </c>
      <c r="W4" s="59">
        <f>V4/S4</f>
        <v>27</v>
      </c>
      <c r="X4" s="108"/>
      <c r="Y4" s="39"/>
      <c r="Z4" s="39"/>
      <c r="AA4" s="8"/>
      <c r="AB4" s="59"/>
    </row>
    <row r="5" spans="1:28" x14ac:dyDescent="0.2">
      <c r="A5" s="9" t="s">
        <v>40</v>
      </c>
      <c r="B5" s="10" t="s">
        <v>41</v>
      </c>
      <c r="C5" s="11">
        <v>15</v>
      </c>
      <c r="D5" s="52"/>
      <c r="E5" s="53"/>
      <c r="F5" s="14"/>
      <c r="G5" s="12"/>
      <c r="H5" s="52"/>
      <c r="I5" s="53"/>
      <c r="J5" s="14">
        <v>52</v>
      </c>
      <c r="K5" s="12">
        <v>17</v>
      </c>
      <c r="L5" s="14"/>
      <c r="M5" s="12"/>
      <c r="N5" s="14">
        <v>46</v>
      </c>
      <c r="O5" s="12">
        <v>23</v>
      </c>
      <c r="P5" s="14">
        <v>46</v>
      </c>
      <c r="Q5" s="12">
        <v>23</v>
      </c>
      <c r="R5" s="97">
        <f>F5+J5+L5+N5+P5</f>
        <v>144</v>
      </c>
      <c r="S5" s="13">
        <f>COUNTIF(D5:P5,"&gt;30")</f>
        <v>3</v>
      </c>
      <c r="T5" s="40"/>
      <c r="U5" s="12"/>
      <c r="V5" s="101">
        <f>SUMIF(G5:Q5, "&lt;30")+T5+U5</f>
        <v>63</v>
      </c>
      <c r="W5" s="61">
        <f>V5/S5</f>
        <v>21</v>
      </c>
      <c r="X5" s="60"/>
      <c r="Y5" s="41"/>
      <c r="Z5" s="41"/>
      <c r="AA5" s="13"/>
      <c r="AB5" s="61"/>
    </row>
    <row r="6" spans="1:28" x14ac:dyDescent="0.2">
      <c r="A6" s="9" t="s">
        <v>15</v>
      </c>
      <c r="B6" s="10" t="s">
        <v>16</v>
      </c>
      <c r="C6" s="11">
        <v>22</v>
      </c>
      <c r="D6" s="52"/>
      <c r="E6" s="53"/>
      <c r="F6" s="14">
        <v>53</v>
      </c>
      <c r="G6" s="12">
        <v>23</v>
      </c>
      <c r="H6" s="52"/>
      <c r="I6" s="53"/>
      <c r="J6" s="14"/>
      <c r="K6" s="12"/>
      <c r="L6" s="14"/>
      <c r="M6" s="12"/>
      <c r="N6" s="14">
        <v>57</v>
      </c>
      <c r="O6" s="12">
        <v>19</v>
      </c>
      <c r="P6" s="14"/>
      <c r="Q6" s="12"/>
      <c r="R6" s="97">
        <f>F6+J6+L6+N6+P6</f>
        <v>110</v>
      </c>
      <c r="S6" s="13">
        <f>COUNTIF(D6:P6,"&gt;30")</f>
        <v>2</v>
      </c>
      <c r="T6" s="40"/>
      <c r="U6" s="12"/>
      <c r="V6" s="101">
        <f>SUMIF(G6:Q6, "&lt;30")+T6+U6</f>
        <v>42</v>
      </c>
      <c r="W6" s="61">
        <f>V6/S6</f>
        <v>21</v>
      </c>
      <c r="X6" s="60"/>
      <c r="Y6" s="41"/>
      <c r="Z6" s="41"/>
      <c r="AA6" s="13"/>
      <c r="AB6" s="61" t="s">
        <v>59</v>
      </c>
    </row>
    <row r="7" spans="1:28" x14ac:dyDescent="0.2">
      <c r="A7" s="9" t="s">
        <v>13</v>
      </c>
      <c r="B7" s="10" t="s">
        <v>14</v>
      </c>
      <c r="C7" s="11">
        <v>13</v>
      </c>
      <c r="D7" s="52"/>
      <c r="E7" s="53"/>
      <c r="F7" s="106">
        <v>42</v>
      </c>
      <c r="G7" s="12">
        <v>25</v>
      </c>
      <c r="H7" s="52"/>
      <c r="I7" s="53"/>
      <c r="J7" s="106"/>
      <c r="K7" s="12"/>
      <c r="L7" s="103">
        <v>51</v>
      </c>
      <c r="M7" s="12">
        <v>16</v>
      </c>
      <c r="N7" s="103"/>
      <c r="O7" s="12"/>
      <c r="P7" s="56">
        <v>49</v>
      </c>
      <c r="Q7" s="12">
        <v>18</v>
      </c>
      <c r="R7" s="97">
        <f>F7+J7+L7+N7+P7</f>
        <v>142</v>
      </c>
      <c r="S7" s="13">
        <f>COUNTIF(D7:P7,"&gt;30")</f>
        <v>3</v>
      </c>
      <c r="T7" s="40">
        <v>2</v>
      </c>
      <c r="U7" s="12"/>
      <c r="V7" s="101">
        <f>SUMIF(G7:Q7, "&lt;30")+T7+U7</f>
        <v>61</v>
      </c>
      <c r="W7" s="61">
        <f>V7/S7</f>
        <v>20.333333333333332</v>
      </c>
      <c r="X7" s="60"/>
      <c r="Y7" s="41"/>
      <c r="Z7" s="41"/>
      <c r="AA7" s="13"/>
      <c r="AB7" s="61"/>
    </row>
    <row r="8" spans="1:28" x14ac:dyDescent="0.2">
      <c r="A8" s="9" t="s">
        <v>33</v>
      </c>
      <c r="B8" s="10" t="s">
        <v>34</v>
      </c>
      <c r="C8" s="11">
        <v>13</v>
      </c>
      <c r="D8" s="52"/>
      <c r="E8" s="53"/>
      <c r="F8" s="16"/>
      <c r="G8" s="12"/>
      <c r="H8" s="52"/>
      <c r="I8" s="53"/>
      <c r="J8" s="16"/>
      <c r="K8" s="12"/>
      <c r="L8" s="16"/>
      <c r="M8" s="12"/>
      <c r="N8" s="16"/>
      <c r="O8" s="12"/>
      <c r="P8" s="42">
        <v>47</v>
      </c>
      <c r="Q8" s="12">
        <v>20</v>
      </c>
      <c r="R8" s="97">
        <f>F8+J8+L8+N8+P8</f>
        <v>47</v>
      </c>
      <c r="S8" s="13">
        <f>COUNTIF(D8:P8,"&gt;30")</f>
        <v>1</v>
      </c>
      <c r="T8" s="40"/>
      <c r="U8" s="12"/>
      <c r="V8" s="101">
        <f>SUMIF(G8:Q8, "&lt;30")+T8+U8</f>
        <v>20</v>
      </c>
      <c r="W8" s="61">
        <f>V8/S8</f>
        <v>20</v>
      </c>
      <c r="X8" s="62"/>
      <c r="Y8" s="41"/>
      <c r="Z8" s="41"/>
      <c r="AA8" s="13"/>
      <c r="AB8" s="61"/>
    </row>
    <row r="9" spans="1:28" x14ac:dyDescent="0.2">
      <c r="A9" s="9" t="s">
        <v>11</v>
      </c>
      <c r="B9" s="10" t="s">
        <v>12</v>
      </c>
      <c r="C9" s="11">
        <v>15</v>
      </c>
      <c r="D9" s="52"/>
      <c r="E9" s="53"/>
      <c r="F9" s="14">
        <v>42</v>
      </c>
      <c r="G9" s="12">
        <v>27</v>
      </c>
      <c r="H9" s="52"/>
      <c r="I9" s="53"/>
      <c r="J9" s="14"/>
      <c r="K9" s="12"/>
      <c r="L9" s="14">
        <v>54</v>
      </c>
      <c r="M9" s="12">
        <v>15</v>
      </c>
      <c r="N9" s="14"/>
      <c r="O9" s="12"/>
      <c r="P9" s="14">
        <v>54</v>
      </c>
      <c r="Q9" s="12">
        <v>16</v>
      </c>
      <c r="R9" s="97">
        <f>F9+J9+L9+N9+P9</f>
        <v>150</v>
      </c>
      <c r="S9" s="13">
        <f>COUNTIF(D9:P9,"&gt;30")</f>
        <v>3</v>
      </c>
      <c r="T9" s="40"/>
      <c r="U9" s="12"/>
      <c r="V9" s="101">
        <f>SUMIF(G9:Q9, "&lt;30")+T9+U9</f>
        <v>58</v>
      </c>
      <c r="W9" s="61">
        <f>V9/S9</f>
        <v>19.333333333333332</v>
      </c>
      <c r="X9" s="60"/>
      <c r="Y9" s="41"/>
      <c r="Z9" s="41"/>
      <c r="AA9" s="13"/>
      <c r="AB9" s="61"/>
    </row>
    <row r="10" spans="1:28" x14ac:dyDescent="0.2">
      <c r="A10" s="9" t="s">
        <v>13</v>
      </c>
      <c r="B10" s="10" t="s">
        <v>17</v>
      </c>
      <c r="C10" s="11">
        <v>8</v>
      </c>
      <c r="D10" s="52"/>
      <c r="E10" s="53"/>
      <c r="F10" s="105">
        <v>45</v>
      </c>
      <c r="G10" s="12">
        <v>17</v>
      </c>
      <c r="H10" s="52"/>
      <c r="I10" s="53"/>
      <c r="J10" s="105"/>
      <c r="K10" s="12"/>
      <c r="L10" s="105">
        <v>43</v>
      </c>
      <c r="M10" s="12">
        <v>19</v>
      </c>
      <c r="N10" s="15">
        <v>41</v>
      </c>
      <c r="O10" s="12">
        <v>21</v>
      </c>
      <c r="P10" s="42">
        <v>47</v>
      </c>
      <c r="Q10" s="12">
        <v>15</v>
      </c>
      <c r="R10" s="97">
        <f>F10+J10+L10+N10+P10</f>
        <v>176</v>
      </c>
      <c r="S10" s="13">
        <f>COUNTIF(D10:P10,"&gt;30")</f>
        <v>4</v>
      </c>
      <c r="T10" s="40">
        <v>1</v>
      </c>
      <c r="U10" s="12">
        <v>3</v>
      </c>
      <c r="V10" s="101">
        <f>SUMIF(G10:Q10, "&lt;30")+T10+U10</f>
        <v>76</v>
      </c>
      <c r="W10" s="61">
        <f>V10/S10</f>
        <v>19</v>
      </c>
      <c r="X10" s="109"/>
      <c r="Y10" s="41"/>
      <c r="Z10" s="41"/>
      <c r="AA10" s="13"/>
      <c r="AB10" s="61"/>
    </row>
    <row r="11" spans="1:28" x14ac:dyDescent="0.2">
      <c r="A11" s="9" t="s">
        <v>19</v>
      </c>
      <c r="B11" s="10" t="s">
        <v>20</v>
      </c>
      <c r="C11" s="11">
        <v>8</v>
      </c>
      <c r="D11" s="52"/>
      <c r="E11" s="53"/>
      <c r="F11" s="14">
        <v>46</v>
      </c>
      <c r="G11" s="12">
        <v>16</v>
      </c>
      <c r="H11" s="52"/>
      <c r="I11" s="53"/>
      <c r="J11" s="14"/>
      <c r="K11" s="12"/>
      <c r="L11" s="14"/>
      <c r="M11" s="12"/>
      <c r="N11" s="14">
        <v>42</v>
      </c>
      <c r="O11" s="12">
        <v>20</v>
      </c>
      <c r="P11" s="14">
        <v>43</v>
      </c>
      <c r="Q11" s="12">
        <v>19</v>
      </c>
      <c r="R11" s="97">
        <f>F11+J11+L11+N11+P11</f>
        <v>131</v>
      </c>
      <c r="S11" s="13">
        <f>COUNTIF(D11:P11,"&gt;30")</f>
        <v>3</v>
      </c>
      <c r="T11" s="40"/>
      <c r="U11" s="12">
        <v>1</v>
      </c>
      <c r="V11" s="101">
        <f>SUMIF(G11:Q11, "&lt;30")+T11+U11</f>
        <v>56</v>
      </c>
      <c r="W11" s="61">
        <f>V11/S11</f>
        <v>18.666666666666668</v>
      </c>
      <c r="X11" s="63"/>
      <c r="Y11" s="41"/>
      <c r="Z11" s="41"/>
      <c r="AA11" s="13"/>
      <c r="AB11" s="61"/>
    </row>
    <row r="12" spans="1:28" x14ac:dyDescent="0.2">
      <c r="A12" s="9" t="s">
        <v>24</v>
      </c>
      <c r="B12" s="10" t="s">
        <v>25</v>
      </c>
      <c r="C12" s="11">
        <v>21</v>
      </c>
      <c r="D12" s="52"/>
      <c r="E12" s="53"/>
      <c r="F12" s="15">
        <v>61</v>
      </c>
      <c r="G12" s="12">
        <v>14</v>
      </c>
      <c r="H12" s="52"/>
      <c r="I12" s="53"/>
      <c r="J12" s="15">
        <v>56</v>
      </c>
      <c r="K12" s="12">
        <v>19</v>
      </c>
      <c r="L12" s="42">
        <v>60</v>
      </c>
      <c r="M12" s="12">
        <v>15</v>
      </c>
      <c r="N12" s="42">
        <v>56</v>
      </c>
      <c r="O12" s="12">
        <v>20</v>
      </c>
      <c r="P12" s="42">
        <v>54</v>
      </c>
      <c r="Q12" s="12">
        <v>22</v>
      </c>
      <c r="R12" s="97">
        <f>F12+J12+L12+N12+P12</f>
        <v>287</v>
      </c>
      <c r="S12" s="13">
        <f>COUNTIF(D12:P12,"&gt;30")</f>
        <v>5</v>
      </c>
      <c r="T12" s="40">
        <v>2</v>
      </c>
      <c r="U12" s="12"/>
      <c r="V12" s="101">
        <f>SUMIF(G12:Q12, "&lt;30")+T12+U12</f>
        <v>92</v>
      </c>
      <c r="W12" s="61">
        <f>V12/S12</f>
        <v>18.399999999999999</v>
      </c>
      <c r="X12" s="60"/>
      <c r="Y12" s="41"/>
      <c r="Z12" s="41"/>
      <c r="AA12" s="13"/>
      <c r="AB12" s="61"/>
    </row>
    <row r="13" spans="1:28" x14ac:dyDescent="0.2">
      <c r="A13" s="9" t="s">
        <v>29</v>
      </c>
      <c r="B13" s="10" t="s">
        <v>30</v>
      </c>
      <c r="C13" s="11">
        <v>10</v>
      </c>
      <c r="D13" s="52"/>
      <c r="E13" s="53"/>
      <c r="F13" s="14">
        <v>46</v>
      </c>
      <c r="G13" s="12">
        <v>18</v>
      </c>
      <c r="H13" s="52"/>
      <c r="I13" s="53"/>
      <c r="J13" s="14"/>
      <c r="K13" s="12"/>
      <c r="L13" s="14">
        <v>46</v>
      </c>
      <c r="M13" s="12">
        <v>18</v>
      </c>
      <c r="N13" s="14">
        <v>46</v>
      </c>
      <c r="O13" s="12">
        <v>18</v>
      </c>
      <c r="P13" s="14">
        <v>46</v>
      </c>
      <c r="Q13" s="12">
        <v>18</v>
      </c>
      <c r="R13" s="97">
        <f>F13+J13+L13+N13+P13</f>
        <v>184</v>
      </c>
      <c r="S13" s="13">
        <f>COUNTIF(D13:P13,"&gt;30")</f>
        <v>4</v>
      </c>
      <c r="T13" s="43"/>
      <c r="U13" s="33"/>
      <c r="V13" s="101">
        <f>SUMIF(G13:Q13, "&lt;30")+T13+U13</f>
        <v>72</v>
      </c>
      <c r="W13" s="61">
        <f>V13/S13</f>
        <v>18</v>
      </c>
      <c r="X13" s="63"/>
      <c r="Y13" s="13"/>
      <c r="Z13" s="13"/>
      <c r="AA13" s="13"/>
      <c r="AB13" s="61"/>
    </row>
    <row r="14" spans="1:28" x14ac:dyDescent="0.2">
      <c r="A14" s="9" t="s">
        <v>26</v>
      </c>
      <c r="B14" s="10" t="s">
        <v>27</v>
      </c>
      <c r="C14" s="11">
        <v>8</v>
      </c>
      <c r="D14" s="52"/>
      <c r="E14" s="53"/>
      <c r="F14" s="14">
        <v>41</v>
      </c>
      <c r="G14" s="12">
        <v>21</v>
      </c>
      <c r="H14" s="52"/>
      <c r="I14" s="53"/>
      <c r="J14" s="14"/>
      <c r="K14" s="12"/>
      <c r="L14" s="14"/>
      <c r="M14" s="12"/>
      <c r="N14" s="57">
        <v>48</v>
      </c>
      <c r="O14" s="12">
        <v>14</v>
      </c>
      <c r="P14" s="42">
        <v>44</v>
      </c>
      <c r="Q14" s="12">
        <v>18</v>
      </c>
      <c r="R14" s="97">
        <f>F14+J14+L14+N14+P14</f>
        <v>133</v>
      </c>
      <c r="S14" s="13">
        <f>COUNTIF(D14:P14,"&gt;30")</f>
        <v>3</v>
      </c>
      <c r="T14" s="40">
        <v>1</v>
      </c>
      <c r="U14" s="12"/>
      <c r="V14" s="101">
        <f>SUMIF(G14:Q14, "&lt;30")+T14+U14</f>
        <v>54</v>
      </c>
      <c r="W14" s="61">
        <f>V14/S14</f>
        <v>18</v>
      </c>
      <c r="X14" s="63"/>
      <c r="Y14" s="41"/>
      <c r="Z14" s="41"/>
      <c r="AA14" s="13"/>
      <c r="AB14" s="61"/>
    </row>
    <row r="15" spans="1:28" x14ac:dyDescent="0.2">
      <c r="A15" s="9" t="s">
        <v>31</v>
      </c>
      <c r="B15" s="10" t="s">
        <v>39</v>
      </c>
      <c r="C15" s="11">
        <v>11</v>
      </c>
      <c r="D15" s="52"/>
      <c r="E15" s="53"/>
      <c r="F15" s="14"/>
      <c r="G15" s="12"/>
      <c r="H15" s="52"/>
      <c r="I15" s="53"/>
      <c r="J15" s="14"/>
      <c r="K15" s="12"/>
      <c r="L15" s="14"/>
      <c r="M15" s="12"/>
      <c r="N15" s="14"/>
      <c r="O15" s="12"/>
      <c r="P15" s="14">
        <v>48</v>
      </c>
      <c r="Q15" s="12">
        <v>18</v>
      </c>
      <c r="R15" s="97">
        <f>F15+J15+L15+N15+P15</f>
        <v>48</v>
      </c>
      <c r="S15" s="13">
        <f>COUNTIF(D15:P15,"&gt;30")</f>
        <v>1</v>
      </c>
      <c r="T15" s="40"/>
      <c r="U15" s="12"/>
      <c r="V15" s="101">
        <f>SUMIF(G15:Q15, "&lt;30")+T15+U15</f>
        <v>18</v>
      </c>
      <c r="W15" s="61">
        <f>V15/S15</f>
        <v>18</v>
      </c>
      <c r="X15" s="60"/>
      <c r="Y15" s="41"/>
      <c r="Z15" s="41"/>
      <c r="AA15" s="13"/>
      <c r="AB15" s="61"/>
    </row>
    <row r="16" spans="1:28" x14ac:dyDescent="0.2">
      <c r="A16" s="9" t="s">
        <v>35</v>
      </c>
      <c r="B16" s="10" t="s">
        <v>36</v>
      </c>
      <c r="C16" s="11">
        <v>2</v>
      </c>
      <c r="D16" s="52"/>
      <c r="E16" s="53"/>
      <c r="F16" s="17"/>
      <c r="G16" s="12"/>
      <c r="H16" s="52"/>
      <c r="I16" s="53"/>
      <c r="J16" s="17"/>
      <c r="K16" s="12"/>
      <c r="L16" s="17"/>
      <c r="M16" s="12"/>
      <c r="N16" s="17"/>
      <c r="O16" s="12"/>
      <c r="P16" s="99">
        <v>39</v>
      </c>
      <c r="Q16" s="12">
        <v>17</v>
      </c>
      <c r="R16" s="97">
        <f>F16+J16+L16+N16+P16</f>
        <v>39</v>
      </c>
      <c r="S16" s="13">
        <f>COUNTIF(D16:P16,"&gt;30")</f>
        <v>1</v>
      </c>
      <c r="T16" s="40"/>
      <c r="U16" s="12">
        <v>1</v>
      </c>
      <c r="V16" s="101">
        <f>SUMIF(G16:Q16, "&lt;30")+T16+U16</f>
        <v>18</v>
      </c>
      <c r="W16" s="61">
        <f>V16/S16</f>
        <v>18</v>
      </c>
      <c r="X16" s="60"/>
      <c r="Y16" s="41"/>
      <c r="Z16" s="41"/>
      <c r="AA16" s="13"/>
      <c r="AB16" s="61"/>
    </row>
    <row r="17" spans="1:28" x14ac:dyDescent="0.2">
      <c r="A17" s="9" t="s">
        <v>31</v>
      </c>
      <c r="B17" s="10" t="s">
        <v>32</v>
      </c>
      <c r="C17" s="11">
        <v>15</v>
      </c>
      <c r="D17" s="52"/>
      <c r="E17" s="53"/>
      <c r="F17" s="14">
        <v>51</v>
      </c>
      <c r="G17" s="12">
        <v>18</v>
      </c>
      <c r="H17" s="52"/>
      <c r="I17" s="53"/>
      <c r="J17" s="14"/>
      <c r="K17" s="12"/>
      <c r="L17" s="14"/>
      <c r="M17" s="12"/>
      <c r="N17" s="14">
        <v>51</v>
      </c>
      <c r="O17" s="12">
        <v>18</v>
      </c>
      <c r="P17" s="14">
        <v>52</v>
      </c>
      <c r="Q17" s="12">
        <v>17</v>
      </c>
      <c r="R17" s="97">
        <f>F17+J17+L17+N17+P17</f>
        <v>154</v>
      </c>
      <c r="S17" s="13">
        <f>COUNTIF(D17:P17,"&gt;30")</f>
        <v>3</v>
      </c>
      <c r="T17" s="40"/>
      <c r="U17" s="12"/>
      <c r="V17" s="101">
        <f>SUMIF(G17:Q17, "&lt;30")+T17+U17</f>
        <v>53</v>
      </c>
      <c r="W17" s="61">
        <f>V17/S17</f>
        <v>17.666666666666668</v>
      </c>
      <c r="X17" s="63"/>
      <c r="Y17" s="41"/>
      <c r="Z17" s="41"/>
      <c r="AA17" s="13"/>
      <c r="AB17" s="61"/>
    </row>
    <row r="18" spans="1:28" x14ac:dyDescent="0.2">
      <c r="A18" s="9" t="s">
        <v>18</v>
      </c>
      <c r="B18" s="10" t="s">
        <v>12</v>
      </c>
      <c r="C18" s="11">
        <v>22</v>
      </c>
      <c r="D18" s="52"/>
      <c r="E18" s="53"/>
      <c r="F18" s="14">
        <v>59</v>
      </c>
      <c r="G18" s="12">
        <v>17</v>
      </c>
      <c r="H18" s="52"/>
      <c r="I18" s="53"/>
      <c r="J18" s="14"/>
      <c r="K18" s="12"/>
      <c r="L18" s="14"/>
      <c r="M18" s="12"/>
      <c r="N18" s="14"/>
      <c r="O18" s="12"/>
      <c r="P18" s="14"/>
      <c r="Q18" s="12"/>
      <c r="R18" s="97">
        <f>F18+J18+L18+N18+P18</f>
        <v>59</v>
      </c>
      <c r="S18" s="13">
        <f>COUNTIF(D18:P18,"&gt;30")</f>
        <v>1</v>
      </c>
      <c r="T18" s="40"/>
      <c r="U18" s="12"/>
      <c r="V18" s="101">
        <f>SUMIF(G18:Q18, "&lt;30")+T18+U18</f>
        <v>17</v>
      </c>
      <c r="W18" s="61">
        <f>V18/S18</f>
        <v>17</v>
      </c>
      <c r="X18" s="63"/>
      <c r="Y18" s="41"/>
      <c r="Z18" s="41"/>
      <c r="AA18" s="13"/>
      <c r="AB18" s="61"/>
    </row>
    <row r="19" spans="1:28" x14ac:dyDescent="0.2">
      <c r="A19" s="9" t="s">
        <v>22</v>
      </c>
      <c r="B19" s="10" t="s">
        <v>23</v>
      </c>
      <c r="C19" s="11">
        <v>18</v>
      </c>
      <c r="D19" s="52"/>
      <c r="E19" s="53"/>
      <c r="F19" s="14">
        <v>56</v>
      </c>
      <c r="G19" s="12">
        <v>16</v>
      </c>
      <c r="H19" s="52"/>
      <c r="I19" s="53"/>
      <c r="J19" s="14"/>
      <c r="K19" s="12"/>
      <c r="L19" s="14"/>
      <c r="M19" s="12"/>
      <c r="N19" s="14"/>
      <c r="O19" s="12"/>
      <c r="P19" s="14"/>
      <c r="Q19" s="12"/>
      <c r="R19" s="97">
        <f>F19+J19+L19+N19+P19</f>
        <v>56</v>
      </c>
      <c r="S19" s="13">
        <f>COUNTIF(D19:P19,"&gt;30")</f>
        <v>1</v>
      </c>
      <c r="T19" s="40"/>
      <c r="U19" s="12"/>
      <c r="V19" s="101">
        <f>SUMIF(G19:Q19, "&lt;30")+T19+U19</f>
        <v>16</v>
      </c>
      <c r="W19" s="61">
        <f>V19/S19</f>
        <v>16</v>
      </c>
      <c r="X19" s="63"/>
      <c r="Y19" s="41"/>
      <c r="Z19" s="41"/>
      <c r="AA19" s="13"/>
      <c r="AB19" s="61"/>
    </row>
    <row r="20" spans="1:28" x14ac:dyDescent="0.2">
      <c r="A20" s="9" t="s">
        <v>21</v>
      </c>
      <c r="B20" s="10" t="s">
        <v>16</v>
      </c>
      <c r="C20" s="11">
        <v>17</v>
      </c>
      <c r="D20" s="52"/>
      <c r="E20" s="53"/>
      <c r="F20" s="14">
        <v>55</v>
      </c>
      <c r="G20" s="12">
        <v>16</v>
      </c>
      <c r="H20" s="52"/>
      <c r="I20" s="53"/>
      <c r="J20" s="14"/>
      <c r="K20" s="12"/>
      <c r="L20" s="14">
        <v>56</v>
      </c>
      <c r="M20" s="12">
        <v>15</v>
      </c>
      <c r="N20" s="14">
        <v>57</v>
      </c>
      <c r="O20" s="12">
        <v>14</v>
      </c>
      <c r="P20" s="14"/>
      <c r="Q20" s="12"/>
      <c r="R20" s="97">
        <f>F20+J20+L20+N20+P20</f>
        <v>168</v>
      </c>
      <c r="S20" s="13">
        <f>COUNTIF(D20:P20,"&gt;30")</f>
        <v>3</v>
      </c>
      <c r="T20" s="40"/>
      <c r="U20" s="12"/>
      <c r="V20" s="101">
        <f>SUMIF(G20:Q20, "&lt;30")+T20+U20</f>
        <v>45</v>
      </c>
      <c r="W20" s="61">
        <f>V20/S20</f>
        <v>15</v>
      </c>
      <c r="X20" s="63"/>
      <c r="Y20" s="41"/>
      <c r="Z20" s="41"/>
      <c r="AA20" s="13"/>
      <c r="AB20" s="61"/>
    </row>
    <row r="21" spans="1:28" x14ac:dyDescent="0.2">
      <c r="A21" s="9" t="s">
        <v>49</v>
      </c>
      <c r="B21" s="10" t="s">
        <v>50</v>
      </c>
      <c r="C21" s="11" t="s">
        <v>28</v>
      </c>
      <c r="D21" s="52"/>
      <c r="E21" s="53"/>
      <c r="F21" s="17"/>
      <c r="G21" s="12"/>
      <c r="H21" s="52"/>
      <c r="I21" s="53"/>
      <c r="J21" s="17"/>
      <c r="K21" s="12"/>
      <c r="L21" s="49">
        <v>50</v>
      </c>
      <c r="M21" s="12"/>
      <c r="N21" s="49"/>
      <c r="O21" s="12"/>
      <c r="P21" s="49"/>
      <c r="Q21" s="12"/>
      <c r="R21" s="97">
        <f>F21+J21+L21+N21+P21</f>
        <v>50</v>
      </c>
      <c r="S21" s="13">
        <f>COUNTIF(D21:P21,"&gt;30")</f>
        <v>1</v>
      </c>
      <c r="T21" s="40">
        <v>1</v>
      </c>
      <c r="U21" s="12"/>
      <c r="V21" s="101">
        <f>SUMIF(G21:Q21, "&lt;30")+T21+U21</f>
        <v>1</v>
      </c>
      <c r="W21" s="61">
        <f>V21/S21</f>
        <v>1</v>
      </c>
      <c r="X21" s="60"/>
      <c r="Y21" s="41"/>
      <c r="Z21" s="41"/>
      <c r="AA21" s="13"/>
      <c r="AB21" s="61"/>
    </row>
    <row r="22" spans="1:28" ht="17" thickBot="1" x14ac:dyDescent="0.25">
      <c r="A22" s="18" t="s">
        <v>56</v>
      </c>
      <c r="B22" s="19" t="s">
        <v>57</v>
      </c>
      <c r="C22" s="20" t="s">
        <v>28</v>
      </c>
      <c r="D22" s="54"/>
      <c r="E22" s="55"/>
      <c r="F22" s="104"/>
      <c r="G22" s="21"/>
      <c r="H22" s="54"/>
      <c r="I22" s="55"/>
      <c r="J22" s="104"/>
      <c r="K22" s="21"/>
      <c r="L22" s="104"/>
      <c r="M22" s="21"/>
      <c r="N22" s="107">
        <v>45</v>
      </c>
      <c r="O22" s="21"/>
      <c r="P22" s="107">
        <v>43</v>
      </c>
      <c r="Q22" s="21"/>
      <c r="R22" s="98">
        <f>F22+J22+L22+N22+P22</f>
        <v>88</v>
      </c>
      <c r="S22" s="22">
        <f>COUNTIF(D22:P22,"&gt;30")</f>
        <v>2</v>
      </c>
      <c r="T22" s="44"/>
      <c r="U22" s="21"/>
      <c r="V22" s="102">
        <f>SUMIF(G22:Q22, "&lt;30")+T22+U22</f>
        <v>0</v>
      </c>
      <c r="W22" s="65">
        <f>V22/S22</f>
        <v>0</v>
      </c>
      <c r="X22" s="64"/>
      <c r="Y22" s="45"/>
      <c r="Z22" s="45"/>
      <c r="AA22" s="22"/>
      <c r="AB22" s="65"/>
    </row>
    <row r="23" spans="1:28" s="23" customFormat="1" ht="17" thickBot="1" x14ac:dyDescent="0.25">
      <c r="A23" s="34"/>
      <c r="B23" s="35"/>
      <c r="C23" s="35"/>
      <c r="D23" s="36"/>
      <c r="E23" s="36"/>
      <c r="F23" s="36">
        <f>AVERAGEIF(F4:F22,"&gt;0")</f>
        <v>49.75</v>
      </c>
      <c r="G23" s="36"/>
      <c r="H23" s="36"/>
      <c r="I23" s="36"/>
      <c r="J23" s="36">
        <f>AVERAGEIF(J4:J22,"&gt;0")</f>
        <v>54</v>
      </c>
      <c r="K23" s="36"/>
      <c r="L23" s="36">
        <f>AVERAGEIF(L4:L22,"&gt;0")</f>
        <v>51.428571428571431</v>
      </c>
      <c r="M23" s="36"/>
      <c r="N23" s="36">
        <f>AVERAGEIF(N4:N22,"&gt;0")</f>
        <v>48.9</v>
      </c>
      <c r="O23" s="36"/>
      <c r="P23" s="36">
        <f>AVERAGEIF(P4:P22,"&gt;0")</f>
        <v>46.785714285714285</v>
      </c>
      <c r="Q23" s="36"/>
      <c r="R23" s="37"/>
    </row>
    <row r="24" spans="1:28" x14ac:dyDescent="0.2">
      <c r="C24" s="24"/>
      <c r="R24" s="25"/>
      <c r="S24" s="25"/>
      <c r="T24" s="26"/>
      <c r="U24" s="26"/>
      <c r="V24" s="25"/>
      <c r="W24" s="27"/>
    </row>
    <row r="25" spans="1:28" x14ac:dyDescent="0.2">
      <c r="C25" s="46" t="s">
        <v>42</v>
      </c>
      <c r="D25" s="28" t="s">
        <v>51</v>
      </c>
      <c r="F25" s="28"/>
      <c r="H25" s="28"/>
      <c r="J25" s="28"/>
      <c r="L25" s="28"/>
      <c r="N25" s="28"/>
      <c r="P25" s="28"/>
    </row>
    <row r="26" spans="1:28" x14ac:dyDescent="0.2">
      <c r="C26" s="47" t="s">
        <v>43</v>
      </c>
      <c r="D26" s="29" t="s">
        <v>52</v>
      </c>
      <c r="F26" s="29"/>
      <c r="H26" s="29"/>
      <c r="J26" s="29"/>
      <c r="L26" s="29"/>
      <c r="N26" s="29"/>
      <c r="P26" s="29"/>
      <c r="R26" s="30"/>
    </row>
    <row r="27" spans="1:28" x14ac:dyDescent="0.2">
      <c r="C27" s="48" t="s">
        <v>47</v>
      </c>
      <c r="D27" s="31" t="s">
        <v>53</v>
      </c>
      <c r="E27" s="32"/>
      <c r="F27" s="31"/>
      <c r="G27" s="32"/>
      <c r="H27" s="31"/>
      <c r="I27" s="32"/>
      <c r="J27" s="31"/>
      <c r="K27" s="32"/>
      <c r="L27" s="31"/>
      <c r="M27" s="32"/>
      <c r="N27" s="31"/>
      <c r="O27" s="32"/>
      <c r="P27" s="31"/>
      <c r="Q27" s="32"/>
    </row>
  </sheetData>
  <sortState xmlns:xlrd2="http://schemas.microsoft.com/office/spreadsheetml/2017/richdata2" ref="A4:AB22">
    <sortCondition descending="1" ref="W4:W22"/>
    <sortCondition descending="1" ref="R4:R22"/>
  </sortState>
  <mergeCells count="29">
    <mergeCell ref="P2:Q2"/>
    <mergeCell ref="X1:AB1"/>
    <mergeCell ref="X2:X3"/>
    <mergeCell ref="Y2:Y3"/>
    <mergeCell ref="Z2:Z3"/>
    <mergeCell ref="AA2:AA3"/>
    <mergeCell ref="AB2:AB3"/>
    <mergeCell ref="H1:I1"/>
    <mergeCell ref="H2:I2"/>
    <mergeCell ref="J1:K1"/>
    <mergeCell ref="V2:V3"/>
    <mergeCell ref="W2:W3"/>
    <mergeCell ref="L1:M1"/>
    <mergeCell ref="L2:M2"/>
    <mergeCell ref="T2:T3"/>
    <mergeCell ref="U2:U3"/>
    <mergeCell ref="J2:K2"/>
    <mergeCell ref="S2:S3"/>
    <mergeCell ref="N1:O1"/>
    <mergeCell ref="R1:R3"/>
    <mergeCell ref="S1:W1"/>
    <mergeCell ref="N2:O2"/>
    <mergeCell ref="P1:Q1"/>
    <mergeCell ref="A1:B3"/>
    <mergeCell ref="C1:C3"/>
    <mergeCell ref="D1:E1"/>
    <mergeCell ref="D2:E2"/>
    <mergeCell ref="F1:G1"/>
    <mergeCell ref="F2:G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2025-06-10T23:51:38Z</cp:lastPrinted>
  <dcterms:created xsi:type="dcterms:W3CDTF">2025-05-15T01:18:57Z</dcterms:created>
  <dcterms:modified xsi:type="dcterms:W3CDTF">2025-06-21T14:20:43Z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