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DC79EEC1-8ED1-5341-8B0E-E6E841E703CA}" xr6:coauthVersionLast="47" xr6:coauthVersionMax="47" xr10:uidLastSave="{00000000-0000-0000-0000-000000000000}"/>
  <bookViews>
    <workbookView xWindow="42080" yWindow="2680" windowWidth="29860" windowHeight="16420" activeTab="8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4" i="21" l="1"/>
  <c r="J24" i="21"/>
  <c r="I24" i="21"/>
  <c r="H24" i="21"/>
  <c r="G24" i="21"/>
  <c r="F24" i="21"/>
  <c r="E24" i="21"/>
  <c r="D24" i="21"/>
  <c r="C24" i="21"/>
  <c r="L23" i="21"/>
  <c r="N23" i="21" s="1"/>
  <c r="L25" i="21"/>
  <c r="N25" i="21"/>
  <c r="C26" i="21"/>
  <c r="D26" i="21"/>
  <c r="E26" i="21"/>
  <c r="F26" i="21"/>
  <c r="G26" i="21"/>
  <c r="H26" i="21"/>
  <c r="I26" i="21"/>
  <c r="J26" i="21"/>
  <c r="K26" i="21"/>
  <c r="L33" i="21"/>
  <c r="N33" i="21" s="1"/>
  <c r="C34" i="21"/>
  <c r="L31" i="21"/>
  <c r="N31" i="21" s="1"/>
  <c r="L29" i="21"/>
  <c r="N27" i="18"/>
  <c r="N25" i="18"/>
  <c r="N11" i="18"/>
  <c r="K12" i="18"/>
  <c r="J12" i="18"/>
  <c r="I12" i="18"/>
  <c r="H12" i="18"/>
  <c r="G12" i="18"/>
  <c r="F12" i="18"/>
  <c r="E12" i="18"/>
  <c r="D12" i="18"/>
  <c r="C12" i="18"/>
  <c r="N27" i="20"/>
  <c r="K28" i="20"/>
  <c r="J28" i="20"/>
  <c r="I28" i="20"/>
  <c r="H28" i="20"/>
  <c r="G28" i="20"/>
  <c r="F28" i="20"/>
  <c r="E28" i="20"/>
  <c r="D28" i="20"/>
  <c r="C28" i="20"/>
  <c r="K16" i="21"/>
  <c r="J16" i="21"/>
  <c r="I16" i="21"/>
  <c r="H16" i="21"/>
  <c r="G16" i="21"/>
  <c r="F16" i="21"/>
  <c r="E16" i="21"/>
  <c r="D16" i="21"/>
  <c r="C16" i="21"/>
  <c r="K28" i="18"/>
  <c r="J28" i="18"/>
  <c r="I28" i="18"/>
  <c r="H28" i="18"/>
  <c r="G28" i="18"/>
  <c r="F28" i="18"/>
  <c r="E28" i="18"/>
  <c r="D28" i="18"/>
  <c r="C28" i="18"/>
  <c r="K16" i="20"/>
  <c r="J16" i="20"/>
  <c r="I16" i="20"/>
  <c r="H16" i="20"/>
  <c r="L16" i="20" s="1"/>
  <c r="G16" i="20"/>
  <c r="F16" i="20"/>
  <c r="E16" i="20"/>
  <c r="D16" i="20"/>
  <c r="C16" i="20"/>
  <c r="K34" i="21"/>
  <c r="J34" i="21"/>
  <c r="I34" i="21"/>
  <c r="H34" i="21"/>
  <c r="G34" i="21"/>
  <c r="F34" i="21"/>
  <c r="E34" i="21"/>
  <c r="D34" i="21"/>
  <c r="N19" i="21"/>
  <c r="K32" i="21"/>
  <c r="J32" i="21"/>
  <c r="I32" i="21"/>
  <c r="H32" i="21"/>
  <c r="G32" i="21"/>
  <c r="F32" i="21"/>
  <c r="E32" i="21"/>
  <c r="D32" i="21"/>
  <c r="C32" i="21"/>
  <c r="K28" i="21"/>
  <c r="J28" i="21"/>
  <c r="I28" i="21"/>
  <c r="H28" i="21"/>
  <c r="G28" i="21"/>
  <c r="F28" i="21"/>
  <c r="E28" i="21"/>
  <c r="D28" i="21"/>
  <c r="C28" i="21"/>
  <c r="L27" i="21"/>
  <c r="N27" i="21" s="1"/>
  <c r="K22" i="21"/>
  <c r="J22" i="21"/>
  <c r="I22" i="21"/>
  <c r="H22" i="21"/>
  <c r="G22" i="21"/>
  <c r="F22" i="21"/>
  <c r="E22" i="21"/>
  <c r="D22" i="21"/>
  <c r="C22" i="21"/>
  <c r="L21" i="21"/>
  <c r="N21" i="21" s="1"/>
  <c r="K20" i="21"/>
  <c r="J20" i="21"/>
  <c r="I20" i="21"/>
  <c r="H20" i="21"/>
  <c r="G20" i="21"/>
  <c r="F20" i="21"/>
  <c r="E20" i="21"/>
  <c r="D20" i="21"/>
  <c r="C20" i="21"/>
  <c r="L19" i="21"/>
  <c r="K18" i="21"/>
  <c r="J18" i="21"/>
  <c r="I18" i="21"/>
  <c r="H18" i="21"/>
  <c r="G18" i="21"/>
  <c r="F18" i="21"/>
  <c r="E18" i="21"/>
  <c r="D18" i="21"/>
  <c r="C18" i="21"/>
  <c r="L17" i="21"/>
  <c r="N17" i="21" s="1"/>
  <c r="L15" i="21"/>
  <c r="N15" i="21" s="1"/>
  <c r="K14" i="21"/>
  <c r="J14" i="21"/>
  <c r="I14" i="21"/>
  <c r="H14" i="21"/>
  <c r="G14" i="21"/>
  <c r="F14" i="21"/>
  <c r="E14" i="21"/>
  <c r="D14" i="21"/>
  <c r="C14" i="21"/>
  <c r="L13" i="21"/>
  <c r="N13" i="21" s="1"/>
  <c r="K12" i="21"/>
  <c r="J12" i="21"/>
  <c r="I12" i="21"/>
  <c r="H12" i="21"/>
  <c r="G12" i="21"/>
  <c r="F12" i="21"/>
  <c r="E12" i="21"/>
  <c r="D12" i="21"/>
  <c r="C12" i="21"/>
  <c r="L11" i="21"/>
  <c r="N11" i="21" s="1"/>
  <c r="K10" i="21"/>
  <c r="J10" i="21"/>
  <c r="I10" i="21"/>
  <c r="H10" i="21"/>
  <c r="G10" i="21"/>
  <c r="F10" i="21"/>
  <c r="E10" i="21"/>
  <c r="D10" i="21"/>
  <c r="C10" i="21"/>
  <c r="L9" i="21"/>
  <c r="N9" i="21" s="1"/>
  <c r="K8" i="21"/>
  <c r="J8" i="21"/>
  <c r="I8" i="21"/>
  <c r="H8" i="21"/>
  <c r="G8" i="21"/>
  <c r="F8" i="21"/>
  <c r="E8" i="21"/>
  <c r="D8" i="21"/>
  <c r="C8" i="21"/>
  <c r="L7" i="21"/>
  <c r="N7" i="21" s="1"/>
  <c r="L5" i="21"/>
  <c r="K18" i="20"/>
  <c r="J18" i="20"/>
  <c r="I18" i="20"/>
  <c r="H18" i="20"/>
  <c r="G18" i="20"/>
  <c r="F18" i="20"/>
  <c r="E18" i="20"/>
  <c r="D18" i="20"/>
  <c r="C18" i="20"/>
  <c r="K18" i="19"/>
  <c r="J18" i="19"/>
  <c r="I18" i="19"/>
  <c r="H18" i="19"/>
  <c r="G18" i="19"/>
  <c r="F18" i="19"/>
  <c r="E18" i="19"/>
  <c r="D18" i="19"/>
  <c r="C18" i="19"/>
  <c r="K26" i="18"/>
  <c r="J26" i="18"/>
  <c r="I26" i="18"/>
  <c r="H26" i="18"/>
  <c r="G26" i="18"/>
  <c r="F26" i="18"/>
  <c r="E26" i="18"/>
  <c r="D26" i="18"/>
  <c r="L26" i="18" s="1"/>
  <c r="O26" i="18" s="1"/>
  <c r="C26" i="18"/>
  <c r="K12" i="20"/>
  <c r="J12" i="20"/>
  <c r="I12" i="20"/>
  <c r="H12" i="20"/>
  <c r="G12" i="20"/>
  <c r="F12" i="20"/>
  <c r="E12" i="20"/>
  <c r="D12" i="20"/>
  <c r="C12" i="20"/>
  <c r="L27" i="20"/>
  <c r="L26" i="20"/>
  <c r="O26" i="20" s="1"/>
  <c r="L25" i="20"/>
  <c r="K24" i="20"/>
  <c r="J24" i="20"/>
  <c r="I24" i="20"/>
  <c r="H24" i="20"/>
  <c r="G24" i="20"/>
  <c r="F24" i="20"/>
  <c r="E24" i="20"/>
  <c r="D24" i="20"/>
  <c r="C24" i="20"/>
  <c r="L23" i="20"/>
  <c r="N23" i="20" s="1"/>
  <c r="K22" i="20"/>
  <c r="J22" i="20"/>
  <c r="I22" i="20"/>
  <c r="H22" i="20"/>
  <c r="G22" i="20"/>
  <c r="F22" i="20"/>
  <c r="E22" i="20"/>
  <c r="D22" i="20"/>
  <c r="C22" i="20"/>
  <c r="L21" i="20"/>
  <c r="N21" i="20" s="1"/>
  <c r="K20" i="20"/>
  <c r="J20" i="20"/>
  <c r="I20" i="20"/>
  <c r="H20" i="20"/>
  <c r="G20" i="20"/>
  <c r="F20" i="20"/>
  <c r="E20" i="20"/>
  <c r="D20" i="20"/>
  <c r="C20" i="20"/>
  <c r="L19" i="20"/>
  <c r="N19" i="20" s="1"/>
  <c r="L17" i="20"/>
  <c r="L15" i="20"/>
  <c r="K14" i="20"/>
  <c r="J14" i="20"/>
  <c r="I14" i="20"/>
  <c r="H14" i="20"/>
  <c r="G14" i="20"/>
  <c r="F14" i="20"/>
  <c r="E14" i="20"/>
  <c r="D14" i="20"/>
  <c r="C14" i="20"/>
  <c r="L13" i="20"/>
  <c r="N13" i="20" s="1"/>
  <c r="L11" i="20"/>
  <c r="K10" i="20"/>
  <c r="J10" i="20"/>
  <c r="I10" i="20"/>
  <c r="H10" i="20"/>
  <c r="G10" i="20"/>
  <c r="F10" i="20"/>
  <c r="E10" i="20"/>
  <c r="D10" i="20"/>
  <c r="C10" i="20"/>
  <c r="L9" i="20"/>
  <c r="N9" i="20" s="1"/>
  <c r="K8" i="20"/>
  <c r="J8" i="20"/>
  <c r="I8" i="20"/>
  <c r="H8" i="20"/>
  <c r="G8" i="20"/>
  <c r="F8" i="20"/>
  <c r="E8" i="20"/>
  <c r="D8" i="20"/>
  <c r="C8" i="20"/>
  <c r="L7" i="20"/>
  <c r="N7" i="20" s="1"/>
  <c r="L5" i="20"/>
  <c r="L19" i="19"/>
  <c r="N19" i="19" s="1"/>
  <c r="K20" i="19"/>
  <c r="J20" i="19"/>
  <c r="I20" i="19"/>
  <c r="H20" i="19"/>
  <c r="G20" i="19"/>
  <c r="F20" i="19"/>
  <c r="E20" i="19"/>
  <c r="D20" i="19"/>
  <c r="C20" i="19"/>
  <c r="L17" i="19"/>
  <c r="K16" i="19"/>
  <c r="J16" i="19"/>
  <c r="I16" i="19"/>
  <c r="H16" i="19"/>
  <c r="G16" i="19"/>
  <c r="F16" i="19"/>
  <c r="E16" i="19"/>
  <c r="D16" i="19"/>
  <c r="C16" i="19"/>
  <c r="L15" i="19"/>
  <c r="N15" i="19" s="1"/>
  <c r="K14" i="19"/>
  <c r="J14" i="19"/>
  <c r="I14" i="19"/>
  <c r="H14" i="19"/>
  <c r="G14" i="19"/>
  <c r="F14" i="19"/>
  <c r="E14" i="19"/>
  <c r="D14" i="19"/>
  <c r="C14" i="19"/>
  <c r="L13" i="19"/>
  <c r="N13" i="19" s="1"/>
  <c r="L12" i="19"/>
  <c r="O12" i="19" s="1"/>
  <c r="L11" i="19"/>
  <c r="K10" i="19"/>
  <c r="J10" i="19"/>
  <c r="I10" i="19"/>
  <c r="H10" i="19"/>
  <c r="G10" i="19"/>
  <c r="F10" i="19"/>
  <c r="E10" i="19"/>
  <c r="D10" i="19"/>
  <c r="C10" i="19"/>
  <c r="L9" i="19"/>
  <c r="N9" i="19" s="1"/>
  <c r="K8" i="19"/>
  <c r="J8" i="19"/>
  <c r="I8" i="19"/>
  <c r="H8" i="19"/>
  <c r="G8" i="19"/>
  <c r="F8" i="19"/>
  <c r="E8" i="19"/>
  <c r="D8" i="19"/>
  <c r="C8" i="19"/>
  <c r="L7" i="19"/>
  <c r="N7" i="19" s="1"/>
  <c r="L5" i="19"/>
  <c r="K30" i="18"/>
  <c r="J30" i="18"/>
  <c r="I30" i="18"/>
  <c r="H30" i="18"/>
  <c r="G30" i="18"/>
  <c r="F30" i="18"/>
  <c r="E30" i="18"/>
  <c r="D30" i="18"/>
  <c r="C30" i="18"/>
  <c r="L29" i="18"/>
  <c r="N29" i="18" s="1"/>
  <c r="L27" i="18"/>
  <c r="L25" i="18"/>
  <c r="K24" i="18"/>
  <c r="J24" i="18"/>
  <c r="I24" i="18"/>
  <c r="H24" i="18"/>
  <c r="G24" i="18"/>
  <c r="F24" i="18"/>
  <c r="E24" i="18"/>
  <c r="D24" i="18"/>
  <c r="C24" i="18"/>
  <c r="N23" i="18"/>
  <c r="L23" i="18"/>
  <c r="K22" i="18"/>
  <c r="J22" i="18"/>
  <c r="I22" i="18"/>
  <c r="H22" i="18"/>
  <c r="G22" i="18"/>
  <c r="F22" i="18"/>
  <c r="E22" i="18"/>
  <c r="D22" i="18"/>
  <c r="C22" i="18"/>
  <c r="L21" i="18"/>
  <c r="N21" i="18" s="1"/>
  <c r="K20" i="18"/>
  <c r="J20" i="18"/>
  <c r="I20" i="18"/>
  <c r="H20" i="18"/>
  <c r="G20" i="18"/>
  <c r="F20" i="18"/>
  <c r="E20" i="18"/>
  <c r="D20" i="18"/>
  <c r="C20" i="18"/>
  <c r="L19" i="18"/>
  <c r="N19" i="18" s="1"/>
  <c r="K18" i="18"/>
  <c r="J18" i="18"/>
  <c r="I18" i="18"/>
  <c r="H18" i="18"/>
  <c r="G18" i="18"/>
  <c r="F18" i="18"/>
  <c r="E18" i="18"/>
  <c r="D18" i="18"/>
  <c r="C18" i="18"/>
  <c r="L17" i="18"/>
  <c r="N17" i="18" s="1"/>
  <c r="K16" i="18"/>
  <c r="J16" i="18"/>
  <c r="I16" i="18"/>
  <c r="H16" i="18"/>
  <c r="G16" i="18"/>
  <c r="F16" i="18"/>
  <c r="E16" i="18"/>
  <c r="D16" i="18"/>
  <c r="C16" i="18"/>
  <c r="L15" i="18"/>
  <c r="N15" i="18" s="1"/>
  <c r="K14" i="18"/>
  <c r="J14" i="18"/>
  <c r="I14" i="18"/>
  <c r="H14" i="18"/>
  <c r="G14" i="18"/>
  <c r="F14" i="18"/>
  <c r="E14" i="18"/>
  <c r="D14" i="18"/>
  <c r="C14" i="18"/>
  <c r="L13" i="18"/>
  <c r="N13" i="18" s="1"/>
  <c r="L11" i="18"/>
  <c r="K10" i="18"/>
  <c r="J10" i="18"/>
  <c r="I10" i="18"/>
  <c r="H10" i="18"/>
  <c r="G10" i="18"/>
  <c r="F10" i="18"/>
  <c r="E10" i="18"/>
  <c r="D10" i="18"/>
  <c r="C10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28" i="20" l="1"/>
  <c r="O28" i="20" s="1"/>
  <c r="L12" i="18"/>
  <c r="O12" i="18" s="1"/>
  <c r="L28" i="18"/>
  <c r="O28" i="18" s="1"/>
  <c r="L24" i="21"/>
  <c r="O24" i="21" s="1"/>
  <c r="L26" i="21"/>
  <c r="O26" i="21" s="1"/>
  <c r="L34" i="21"/>
  <c r="O34" i="21" s="1"/>
  <c r="L28" i="21"/>
  <c r="O28" i="21" s="1"/>
  <c r="L16" i="21"/>
  <c r="O16" i="21" s="1"/>
  <c r="L32" i="21"/>
  <c r="O32" i="21" s="1"/>
  <c r="O30" i="21"/>
  <c r="L18" i="21"/>
  <c r="O18" i="21" s="1"/>
  <c r="L14" i="21"/>
  <c r="O14" i="21" s="1"/>
  <c r="L8" i="21"/>
  <c r="O8" i="21" s="1"/>
  <c r="L22" i="21"/>
  <c r="O22" i="21" s="1"/>
  <c r="L12" i="21"/>
  <c r="O12" i="21" s="1"/>
  <c r="L20" i="21"/>
  <c r="O20" i="21" s="1"/>
  <c r="L10" i="21"/>
  <c r="O10" i="21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O16" i="20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K10" i="17"/>
  <c r="J10" i="17"/>
  <c r="I10" i="17"/>
  <c r="H10" i="17"/>
  <c r="G10" i="17"/>
  <c r="F10" i="17"/>
  <c r="E10" i="17"/>
  <c r="D10" i="17"/>
  <c r="C10" i="17"/>
  <c r="L9" i="17"/>
  <c r="N9" i="17" s="1"/>
  <c r="K8" i="17"/>
  <c r="J8" i="17"/>
  <c r="I8" i="17"/>
  <c r="H8" i="17"/>
  <c r="G8" i="17"/>
  <c r="F8" i="17"/>
  <c r="E8" i="17"/>
  <c r="D8" i="17"/>
  <c r="C8" i="17"/>
  <c r="L7" i="17"/>
  <c r="N7" i="17" s="1"/>
  <c r="L5" i="17"/>
  <c r="L5" i="16"/>
  <c r="L5" i="15"/>
  <c r="L10" i="17" l="1"/>
  <c r="O10" i="17" s="1"/>
  <c r="L8" i="17"/>
  <c r="O8" i="17" s="1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<sst xmlns="http://schemas.openxmlformats.org/spreadsheetml/2006/main" count="152" uniqueCount="39">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</sst>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0" fontId="5" fillId="5" borderId="0" xfId="1" applyFont="1" applyFill="1" applyAlignment="1">
      <alignment horizontal="center" vertical="center"/>
    </xf>
    <xf numFmtId="164" fontId="1" fillId="0" borderId="0" xfId="1" applyNumberFormat="1"/>
    <xf numFmtId="0" fontId="7" fillId="0" borderId="6" xfId="1" applyFont="1" applyBorder="1" applyAlignment="1">
      <alignment horizontal="center" vertical="center"/>
    </xf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2" xfId="1" applyFont="1" applyFill="1" applyBorder="1" applyAlignment="1">
      <alignment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5" fillId="0" borderId="5" xfId="1" applyFont="1" applyBorder="1" applyAlignment="1">
      <alignment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8" fontId="8" fillId="0" borderId="3" xfId="1" applyNumberFormat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C30" sqref="C30"/>
    </sheetView>
  </sheetViews>
  <sheetFormatPr baseColWidth="10" defaultColWidth="14.1640625" defaultRowHeight="15" customHeight="1" x14ac:dyDescent="0.15"/>
  <cols>
    <col min="1" max="1" width="23" style="2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2" customWidth="1"/>
    <col min="21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30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30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4"/>
      <c r="R4" s="28" t="s">
        <v>26</v>
      </c>
      <c r="S4" s="3"/>
      <c r="T4" s="31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3"/>
      <c r="R5" s="4" t="s">
        <v>27</v>
      </c>
      <c r="S5" s="3"/>
      <c r="T5" s="31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 t="str">
        <f>IF(C7&gt;0, VLOOKUP(C7-C$5-(INT($M7/9)+(MOD($M7,9)&gt;=C$6)), '[1]Point System'!$A$4:$B$15, 2),"")</f>
        <v/>
      </c>
      <c r="D8" s="16" t="str">
        <f>IF(D7&gt;0, VLOOKUP(D7-D$5-(INT($M7/9)+(MOD($M7,9)&gt;=D$6)), '[1]Point System'!$A$4:$B$15, 2),"")</f>
        <v/>
      </c>
      <c r="E8" s="16" t="str">
        <f>IF(E7&gt;0, VLOOKUP(E7-E$5-(INT($M7/9)+(MOD($M7,9)&gt;=E$6)), '[1]Point System'!$A$4:$B$15, 2),"")</f>
        <v/>
      </c>
      <c r="F8" s="16" t="str">
        <f>IF(F7&gt;0, VLOOKUP(F7-F$5-(INT($M7/9)+(MOD($M7,9)&gt;=F$6)), '[1]Point System'!$A$4:$B$15, 2),"")</f>
        <v/>
      </c>
      <c r="G8" s="16" t="str">
        <f>IF(G7&gt;0, VLOOKUP(G7-G$5-(INT($M7/9)+(MOD($M7,9)&gt;=G$6)), '[1]Point System'!$A$4:$B$15, 2),"")</f>
        <v/>
      </c>
      <c r="H8" s="16" t="str">
        <f>IF(H7&gt;0, VLOOKUP(H7-H$5-(INT($M7/9)+(MOD($M7,9)&gt;=H$6)), '[1]Point System'!$A$4:$B$15, 2),"")</f>
        <v/>
      </c>
      <c r="I8" s="16" t="str">
        <f>IF(I7&gt;0, VLOOKUP(I7-I$5-(INT($M7/9)+(MOD($M7,9)&gt;=I$6)), '[1]Point System'!$A$4:$B$15, 2),"")</f>
        <v/>
      </c>
      <c r="J8" s="16" t="str">
        <f>IF(J7&gt;0, VLOOKUP(J7-J$5-(INT($M7/9)+(MOD($M7,9)&gt;=J$6)), '[1]Point System'!$A$4:$B$15, 2),"")</f>
        <v/>
      </c>
      <c r="K8" s="36" t="str">
        <f>IF(K7&gt;0, VLOOKUP(K7-K$5-(INT($M7/9)+(MOD($M7,9)&gt;=K$6)), '[1]Point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3"/>
      <c r="R8" s="30"/>
      <c r="S8" s="1"/>
      <c r="T8" s="1"/>
      <c r="U8" s="1"/>
      <c r="V8" s="1"/>
      <c r="W8" s="1"/>
      <c r="X8" s="1"/>
      <c r="Z8" s="35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20" thickBot="1" x14ac:dyDescent="0.25">
      <c r="A10" s="15"/>
      <c r="B10" s="16"/>
      <c r="C10" s="16" t="str">
        <f>IF(C9&gt;0, VLOOKUP(C9-C$5-(INT($M9/9)+(MOD($M9,9)&gt;=C$6)), '[1]Point System'!$A$4:$B$15, 2),"")</f>
        <v/>
      </c>
      <c r="D10" s="16" t="str">
        <f>IF(D9&gt;0, VLOOKUP(D9-D$5-(INT($M9/9)+(MOD($M9,9)&gt;=D$6)), '[1]Point System'!$A$4:$B$15, 2),"")</f>
        <v/>
      </c>
      <c r="E10" s="16" t="str">
        <f>IF(E9&gt;0, VLOOKUP(E9-E$5-(INT($M9/9)+(MOD($M9,9)&gt;=E$6)), '[1]Point System'!$A$4:$B$15, 2),"")</f>
        <v/>
      </c>
      <c r="F10" s="16" t="str">
        <f>IF(F9&gt;0, VLOOKUP(F9-F$5-(INT($M9/9)+(MOD($M9,9)&gt;=F$6)), '[1]Point System'!$A$4:$B$15, 2),"")</f>
        <v/>
      </c>
      <c r="G10" s="16" t="str">
        <f>IF(G9&gt;0, VLOOKUP(G9-G$5-(INT($M9/9)+(MOD($M9,9)&gt;=G$6)), '[1]Point System'!$A$4:$B$15, 2),"")</f>
        <v/>
      </c>
      <c r="H10" s="16" t="str">
        <f>IF(H9&gt;0, VLOOKUP(H9-H$5-(INT($M9/9)+(MOD($M9,9)&gt;=H$6)), '[1]Point System'!$A$4:$B$15, 2),"")</f>
        <v/>
      </c>
      <c r="I10" s="16" t="str">
        <f>IF(I9&gt;0, VLOOKUP(I9-I$5-(INT($M9/9)+(MOD($M9,9)&gt;=I$6)), '[1]Point System'!$A$4:$B$15, 2),"")</f>
        <v/>
      </c>
      <c r="J10" s="16" t="str">
        <f>IF(J9&gt;0, VLOOKUP(J9-J$5-(INT($M9/9)+(MOD($M9,9)&gt;=J$6)), '[1]Point System'!$A$4:$B$15, 2),"")</f>
        <v/>
      </c>
      <c r="K10" s="36" t="str">
        <f>IF(K9&gt;0, VLOOKUP(K9-K$5-(INT($M9/9)+(MOD($M9,9)&gt;=K$6)), '[1]Point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30"/>
      <c r="T10" s="2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20" thickBot="1" x14ac:dyDescent="0.25">
      <c r="A12" s="15"/>
      <c r="B12" s="16"/>
      <c r="C12" s="16" t="str">
        <f>IF(C11&gt;0, VLOOKUP(C11-C$5-(INT($M11/9)+(MOD($M11,9)&gt;=C$6)), '[1]Point System'!$A$4:$B$15, 2),"")</f>
        <v/>
      </c>
      <c r="D12" s="16" t="str">
        <f>IF(D11&gt;0, VLOOKUP(D11-D$5-(INT($M11/9)+(MOD($M11,9)&gt;=D$6)), '[1]Point System'!$A$4:$B$15, 2),"")</f>
        <v/>
      </c>
      <c r="E12" s="16" t="str">
        <f>IF(E11&gt;0, VLOOKUP(E11-E$5-(INT($M11/9)+(MOD($M11,9)&gt;=E$6)), '[1]Point System'!$A$4:$B$15, 2),"")</f>
        <v/>
      </c>
      <c r="F12" s="16" t="str">
        <f>IF(F11&gt;0, VLOOKUP(F11-F$5-(INT($M11/9)+(MOD($M11,9)&gt;=F$6)), '[1]Point System'!$A$4:$B$15, 2),"")</f>
        <v/>
      </c>
      <c r="G12" s="16" t="str">
        <f>IF(G11&gt;0, VLOOKUP(G11-G$5-(INT($M11/9)+(MOD($M11,9)&gt;=G$6)), '[1]Point System'!$A$4:$B$15, 2),"")</f>
        <v/>
      </c>
      <c r="H12" s="16" t="str">
        <f>IF(H11&gt;0, VLOOKUP(H11-H$5-(INT($M11/9)+(MOD($M11,9)&gt;=H$6)), '[1]Point System'!$A$4:$B$15, 2),"")</f>
        <v/>
      </c>
      <c r="I12" s="16" t="str">
        <f>IF(I11&gt;0, VLOOKUP(I11-I$5-(INT($M11/9)+(MOD($M11,9)&gt;=I$6)), '[1]Point System'!$A$4:$B$15, 2),"")</f>
        <v/>
      </c>
      <c r="J12" s="16" t="str">
        <f>IF(J11&gt;0, VLOOKUP(J11-J$5-(INT($M11/9)+(MOD($M11,9)&gt;=J$6)), '[1]Point System'!$A$4:$B$15, 2),"")</f>
        <v/>
      </c>
      <c r="K12" s="16" t="str">
        <f>IF(K11&gt;0, VLOOKUP(K11-K$5-(INT($M11/9)+(MOD($M11,9)&gt;=K$6)), '[1]Point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3"/>
      <c r="Q12" s="33"/>
      <c r="R12" s="30"/>
      <c r="S12" s="1"/>
      <c r="T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20" thickBot="1" x14ac:dyDescent="0.25">
      <c r="A14" s="15"/>
      <c r="B14" s="16"/>
      <c r="C14" s="16" t="str">
        <f>IF(C13&gt;0, VLOOKUP(C13-C$5-(INT($M13/9)+(MOD($M13,9)&gt;=C$6)), '[1]Point System'!$A$4:$B$15, 2),"")</f>
        <v/>
      </c>
      <c r="D14" s="16" t="str">
        <f>IF(D13&gt;0, VLOOKUP(D13-D$5-(INT($M13/9)+(MOD($M13,9)&gt;=D$6)), '[1]Point System'!$A$4:$B$15, 2),"")</f>
        <v/>
      </c>
      <c r="E14" s="16" t="str">
        <f>IF(E13&gt;0, VLOOKUP(E13-E$5-(INT($M13/9)+(MOD($M13,9)&gt;=E$6)), '[1]Point System'!$A$4:$B$15, 2),"")</f>
        <v/>
      </c>
      <c r="F14" s="16" t="str">
        <f>IF(F13&gt;0, VLOOKUP(F13-F$5-(INT($M13/9)+(MOD($M13,9)&gt;=F$6)), '[1]Point System'!$A$4:$B$15, 2),"")</f>
        <v/>
      </c>
      <c r="G14" s="16" t="str">
        <f>IF(G13&gt;0, VLOOKUP(G13-G$5-(INT($M13/9)+(MOD($M13,9)&gt;=G$6)), '[1]Point System'!$A$4:$B$15, 2),"")</f>
        <v/>
      </c>
      <c r="H14" s="16" t="str">
        <f>IF(H13&gt;0, VLOOKUP(H13-H$5-(INT($M13/9)+(MOD($M13,9)&gt;=H$6)), '[1]Point System'!$A$4:$B$15, 2),"")</f>
        <v/>
      </c>
      <c r="I14" s="16" t="str">
        <f>IF(I13&gt;0, VLOOKUP(I13-I$5-(INT($M13/9)+(MOD($M13,9)&gt;=I$6)), '[1]Point System'!$A$4:$B$15, 2),"")</f>
        <v/>
      </c>
      <c r="J14" s="16" t="str">
        <f>IF(J13&gt;0, VLOOKUP(J13-J$5-(INT($M13/9)+(MOD($M13,9)&gt;=J$6)), '[1]Point System'!$A$4:$B$15, 2),"")</f>
        <v/>
      </c>
      <c r="K14" s="16" t="str">
        <f>IF(K13&gt;0, VLOOKUP(K13-K$5-(INT($M13/9)+(MOD($M13,9)&gt;=K$6)), '[1]Point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3"/>
      <c r="Q14" s="33"/>
      <c r="R14" s="30"/>
      <c r="S14" s="1"/>
      <c r="T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 t="str">
        <f>IF(C15&gt;0, VLOOKUP(C15-C$5-(INT($M15/9)+(MOD($M15,9)&gt;=C$6)), '[1]Point System'!$A$4:$B$15, 2),"")</f>
        <v/>
      </c>
      <c r="D16" s="16" t="str">
        <f>IF(D15&gt;0, VLOOKUP(D15-D$5-(INT($M15/9)+(MOD($M15,9)&gt;=D$6)), '[1]Point System'!$A$4:$B$15, 2),"")</f>
        <v/>
      </c>
      <c r="E16" s="16" t="str">
        <f>IF(E15&gt;0, VLOOKUP(E15-E$5-(INT($M15/9)+(MOD($M15,9)&gt;=E$6)), '[1]Point System'!$A$4:$B$15, 2),"")</f>
        <v/>
      </c>
      <c r="F16" s="16" t="str">
        <f>IF(F15&gt;0, VLOOKUP(F15-F$5-(INT($M15/9)+(MOD($M15,9)&gt;=F$6)), '[1]Point System'!$A$4:$B$15, 2),"")</f>
        <v/>
      </c>
      <c r="G16" s="16" t="str">
        <f>IF(G15&gt;0, VLOOKUP(G15-G$5-(INT($M15/9)+(MOD($M15,9)&gt;=G$6)), '[1]Point System'!$A$4:$B$15, 2),"")</f>
        <v/>
      </c>
      <c r="H16" s="16" t="str">
        <f>IF(H15&gt;0, VLOOKUP(H15-H$5-(INT($M15/9)+(MOD($M15,9)&gt;=H$6)), '[1]Point System'!$A$4:$B$15, 2),"")</f>
        <v/>
      </c>
      <c r="I16" s="16" t="str">
        <f>IF(I15&gt;0, VLOOKUP(I15-I$5-(INT($M15/9)+(MOD($M15,9)&gt;=I$6)), '[1]Point System'!$A$4:$B$15, 2),"")</f>
        <v/>
      </c>
      <c r="J16" s="16" t="str">
        <f>IF(J15&gt;0, VLOOKUP(J15-J$5-(INT($M15/9)+(MOD($M15,9)&gt;=J$6)), '[1]Point System'!$A$4:$B$15, 2),"")</f>
        <v/>
      </c>
      <c r="K16" s="16" t="str">
        <f>IF(K15&gt;0, VLOOKUP(K15-K$5-(INT($M15/9)+(MOD($M15,9)&gt;=K$6)), '[1]Point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3"/>
      <c r="Q16" s="33"/>
      <c r="R16" s="30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 t="str">
        <f>IF(C17&gt;0, VLOOKUP(C17-C$5-(INT($M17/9)+(MOD($M17,9)&gt;=C$6)), '[1]Point System'!$A$4:$B$15, 2),"")</f>
        <v/>
      </c>
      <c r="D18" s="16" t="str">
        <f>IF(D17&gt;0, VLOOKUP(D17-D$5-(INT($M17/9)+(MOD($M17,9)&gt;=D$6)), '[1]Point System'!$A$4:$B$15, 2),"")</f>
        <v/>
      </c>
      <c r="E18" s="16" t="str">
        <f>IF(E17&gt;0, VLOOKUP(E17-E$5-(INT($M17/9)+(MOD($M17,9)&gt;=E$6)), '[1]Point System'!$A$4:$B$15, 2),"")</f>
        <v/>
      </c>
      <c r="F18" s="16" t="str">
        <f>IF(F17&gt;0, VLOOKUP(F17-F$5-(INT($M17/9)+(MOD($M17,9)&gt;=F$6)), '[1]Point System'!$A$4:$B$15, 2),"")</f>
        <v/>
      </c>
      <c r="G18" s="16" t="str">
        <f>IF(G17&gt;0, VLOOKUP(G17-G$5-(INT($M17/9)+(MOD($M17,9)&gt;=G$6)), '[1]Point System'!$A$4:$B$15, 2),"")</f>
        <v/>
      </c>
      <c r="H18" s="16" t="str">
        <f>IF(H17&gt;0, VLOOKUP(H17-H$5-(INT($M17/9)+(MOD($M17,9)&gt;=H$6)), '[1]Point System'!$A$4:$B$15, 2),"")</f>
        <v/>
      </c>
      <c r="I18" s="16" t="str">
        <f>IF(I17&gt;0, VLOOKUP(I17-I$5-(INT($M17/9)+(MOD($M17,9)&gt;=I$6)), '[1]Point System'!$A$4:$B$15, 2),"")</f>
        <v/>
      </c>
      <c r="J18" s="16" t="str">
        <f>IF(J17&gt;0, VLOOKUP(J17-J$5-(INT($M17/9)+(MOD($M17,9)&gt;=J$6)), '[1]Point System'!$A$4:$B$15, 2),"")</f>
        <v/>
      </c>
      <c r="K18" s="36" t="str">
        <f>IF(K17&gt;0, VLOOKUP(K17-K$5-(INT($M17/9)+(MOD($M17,9)&gt;=K$6)), '[1]Point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3"/>
      <c r="Q18" s="33"/>
      <c r="R18" s="30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20" thickBot="1" x14ac:dyDescent="0.25">
      <c r="A20" s="15"/>
      <c r="B20" s="16"/>
      <c r="C20" s="16" t="str">
        <f>IF(C19&gt;0, VLOOKUP(C19-C$5-(INT($M19/9)+(MOD($M19,9)&gt;=C$6)), '[1]Point System'!$A$4:$B$15, 2),"")</f>
        <v/>
      </c>
      <c r="D20" s="16" t="str">
        <f>IF(D19&gt;0, VLOOKUP(D19-D$5-(INT($M19/9)+(MOD($M19,9)&gt;=D$6)), '[1]Point System'!$A$4:$B$15, 2),"")</f>
        <v/>
      </c>
      <c r="E20" s="16" t="str">
        <f>IF(E19&gt;0, VLOOKUP(E19-E$5-(INT($M19/9)+(MOD($M19,9)&gt;=E$6)), '[1]Point System'!$A$4:$B$15, 2),"")</f>
        <v/>
      </c>
      <c r="F20" s="16" t="str">
        <f>IF(F19&gt;0, VLOOKUP(F19-F$5-(INT($M19/9)+(MOD($M19,9)&gt;=F$6)), '[1]Point System'!$A$4:$B$15, 2),"")</f>
        <v/>
      </c>
      <c r="G20" s="16" t="str">
        <f>IF(G19&gt;0, VLOOKUP(G19-G$5-(INT($M19/9)+(MOD($M19,9)&gt;=G$6)), '[1]Point System'!$A$4:$B$15, 2),"")</f>
        <v/>
      </c>
      <c r="H20" s="16" t="str">
        <f>IF(H19&gt;0, VLOOKUP(H19-H$5-(INT($M19/9)+(MOD($M19,9)&gt;=H$6)), '[1]Point System'!$A$4:$B$15, 2),"")</f>
        <v/>
      </c>
      <c r="I20" s="16" t="str">
        <f>IF(I19&gt;0, VLOOKUP(I19-I$5-(INT($M19/9)+(MOD($M19,9)&gt;=I$6)), '[1]Point System'!$A$4:$B$15, 2),"")</f>
        <v/>
      </c>
      <c r="J20" s="16" t="str">
        <f>IF(J19&gt;0, VLOOKUP(J19-J$5-(INT($M19/9)+(MOD($M19,9)&gt;=J$6)), '[1]Point System'!$A$4:$B$15, 2),"")</f>
        <v/>
      </c>
      <c r="K20" s="36" t="str">
        <f>IF(K19&gt;0, VLOOKUP(K19-K$5-(INT($M19/9)+(MOD($M19,9)&gt;=K$6)), '[1]Point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30"/>
      <c r="T20" s="2"/>
    </row>
    <row r="21" spans="1:26" ht="15" customHeight="1" x14ac:dyDescent="0.15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M23" sqref="M2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N27" sqref="N2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4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3</v>
      </c>
      <c r="J8" s="16">
        <f>IF(J7&gt;0, VLOOKUP(J7-J$5-(INT($M7/9)+(MOD($M7,9)&gt;=J$6)), '[2]Point System'!$A$4:$B$15, 2),"")</f>
        <v>3</v>
      </c>
      <c r="K8" s="16">
        <f>IF(K7&gt;0, VLOOKUP(K7-K$5-(INT($M7/9)+(MOD($M7,9)&gt;=K$6)), '[2]Point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3</v>
      </c>
      <c r="D10" s="16">
        <f>IF(D9&gt;0, VLOOKUP(D9-D$5-(INT($M9/9)+(MOD($M9,9)&gt;=D$6)), '[2]Point System'!$A$4:$B$15, 2),"")</f>
        <v>4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3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34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1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3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3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2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3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1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3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0</v>
      </c>
      <c r="K16" s="16">
        <f>IF(K15&gt;0, VLOOKUP(K15-K$5-(INT($M15/9)+(MOD($M15,9)&gt;=K$6)), '[2]Point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28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0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2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3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1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3</v>
      </c>
      <c r="G20" s="16">
        <f>IF(G19&gt;0, VLOOKUP(G19-G$5-(INT($M19/9)+(MOD($M19,9)&gt;=G$6)), '[2]Point System'!$A$4:$B$15, 2),"")</f>
        <v>4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5</v>
      </c>
      <c r="K20" s="16">
        <f>IF(K19&gt;0, VLOOKUP(K19-K$5-(INT($M19/9)+(MOD($M19,9)&gt;=K$6)), '[2]Point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'[1]Point System'!$A$4:$B$15, 2),"")</f>
        <v>3</v>
      </c>
      <c r="D22" s="16">
        <f>IF(D21&gt;0, VLOOKUP(D21-D$5-(INT($M21/9)+(MOD($M21,9)&gt;=D$6)), '[1]Point System'!$A$4:$B$15, 2),"")</f>
        <v>2</v>
      </c>
      <c r="E22" s="16">
        <f>IF(E21&gt;0, VLOOKUP(E21-E$5-(INT($M21/9)+(MOD($M21,9)&gt;=E$6)), '[1]Point System'!$A$4:$B$15, 2),"")</f>
        <v>3</v>
      </c>
      <c r="F22" s="16">
        <f>IF(F21&gt;0, VLOOKUP(F21-F$5-(INT($M21/9)+(MOD($M21,9)&gt;=F$6)), '[1]Point System'!$A$4:$B$15, 2),"")</f>
        <v>1</v>
      </c>
      <c r="G22" s="16">
        <f>IF(G21&gt;0, VLOOKUP(G21-G$5-(INT($M21/9)+(MOD($M21,9)&gt;=G$6)), '[1]Point System'!$A$4:$B$15, 2),"")</f>
        <v>1</v>
      </c>
      <c r="H22" s="16">
        <f>IF(H21&gt;0, VLOOKUP(H21-H$5-(INT($M21/9)+(MOD($M21,9)&gt;=H$6)), '[1]Point System'!$A$4:$B$15, 2),"")</f>
        <v>1</v>
      </c>
      <c r="I22" s="16">
        <f>IF(I21&gt;0, VLOOKUP(I21-I$5-(INT($M21/9)+(MOD($M21,9)&gt;=I$6)), '[1]Point System'!$A$4:$B$15, 2),"")</f>
        <v>0</v>
      </c>
      <c r="J22" s="16">
        <f>IF(J21&gt;0, VLOOKUP(J21-J$5-(INT($M21/9)+(MOD($M21,9)&gt;=J$6)), '[1]Point System'!$A$4:$B$15, 2),"")</f>
        <v>2</v>
      </c>
      <c r="K22" s="16">
        <f>IF(K21&gt;0, VLOOKUP(K21-K$5-(INT($M21/9)+(MOD($M21,9)&gt;=K$6)), '[1]Point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'[1]Point System'!$A$4:$B$15, 2),"")</f>
        <v>3</v>
      </c>
      <c r="D24" s="16">
        <f>IF(D23&gt;0, VLOOKUP(D23-D$5-(INT($M23/9)+(MOD($M23,9)&gt;=D$6)), '[1]Point System'!$A$4:$B$15, 2),"")</f>
        <v>1</v>
      </c>
      <c r="E24" s="16">
        <f>IF(E23&gt;0, VLOOKUP(E23-E$5-(INT($M23/9)+(MOD($M23,9)&gt;=E$6)), '[1]Point System'!$A$4:$B$15, 2),"")</f>
        <v>0</v>
      </c>
      <c r="F24" s="16">
        <f>IF(F23&gt;0, VLOOKUP(F23-F$5-(INT($M23/9)+(MOD($M23,9)&gt;=F$6)), '[1]Point System'!$A$4:$B$15, 2),"")</f>
        <v>1</v>
      </c>
      <c r="G24" s="16">
        <f>IF(G23&gt;0, VLOOKUP(G23-G$5-(INT($M23/9)+(MOD($M23,9)&gt;=G$6)), '[1]Point System'!$A$4:$B$15, 2),"")</f>
        <v>4</v>
      </c>
      <c r="H24" s="16">
        <f>IF(H23&gt;0, VLOOKUP(H23-H$5-(INT($M23/9)+(MOD($M23,9)&gt;=H$6)), '[1]Point System'!$A$4:$B$15, 2),"")</f>
        <v>2</v>
      </c>
      <c r="I24" s="16">
        <f>IF(I23&gt;0, VLOOKUP(I23-I$5-(INT($M23/9)+(MOD($M23,9)&gt;=I$6)), '[1]Point System'!$A$4:$B$15, 2),"")</f>
        <v>1</v>
      </c>
      <c r="J24" s="16">
        <f>IF(J23&gt;0, VLOOKUP(J23-J$5-(INT($M23/9)+(MOD($M23,9)&gt;=J$6)), '[1]Point System'!$A$4:$B$15, 2),"")</f>
        <v>2</v>
      </c>
      <c r="K24" s="16">
        <f>IF(K23&gt;0, VLOOKUP(K23-K$5-(INT($M23/9)+(MOD($M23,9)&gt;=K$6)), '[1]Point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'[1]Point System'!$A$4:$B$15, 2),"")</f>
        <v>2</v>
      </c>
      <c r="D26" s="16">
        <f>IF(D25&gt;0, VLOOKUP(D25-D$5-(INT($M25/9)+(MOD($M25,9)&gt;=D$6)), '[1]Point System'!$A$4:$B$15, 2),"")</f>
        <v>4</v>
      </c>
      <c r="E26" s="16">
        <f>IF(E25&gt;0, VLOOKUP(E25-E$5-(INT($M25/9)+(MOD($M25,9)&gt;=E$6)), '[1]Point System'!$A$4:$B$15, 2),"")</f>
        <v>2</v>
      </c>
      <c r="F26" s="16">
        <f>IF(F25&gt;0, VLOOKUP(F25-F$5-(INT($M25/9)+(MOD($M25,9)&gt;=F$6)), '[1]Point System'!$A$4:$B$15, 2),"")</f>
        <v>2</v>
      </c>
      <c r="G26" s="16">
        <f>IF(G25&gt;0, VLOOKUP(G25-G$5-(INT($M25/9)+(MOD($M25,9)&gt;=G$6)), '[1]Point System'!$A$4:$B$15, 2),"")</f>
        <v>2</v>
      </c>
      <c r="H26" s="16">
        <f>IF(H25&gt;0, VLOOKUP(H25-H$5-(INT($M25/9)+(MOD($M25,9)&gt;=H$6)), '[1]Point System'!$A$4:$B$15, 2),"")</f>
        <v>1</v>
      </c>
      <c r="I26" s="16">
        <f>IF(I25&gt;0, VLOOKUP(I25-I$5-(INT($M25/9)+(MOD($M25,9)&gt;=I$6)), '[1]Point System'!$A$4:$B$15, 2),"")</f>
        <v>1</v>
      </c>
      <c r="J26" s="16">
        <f>IF(J25&gt;0, VLOOKUP(J25-J$5-(INT($M25/9)+(MOD($M25,9)&gt;=J$6)), '[1]Point System'!$A$4:$B$15, 2),"")</f>
        <v>2</v>
      </c>
      <c r="K26" s="16">
        <f>IF(K25&gt;0, VLOOKUP(K25-K$5-(INT($M25/9)+(MOD($M25,9)&gt;=K$6)), '[1]Point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30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'[1]Point System'!$A$4:$B$15, 2),"")</f>
        <v>3</v>
      </c>
      <c r="D28" s="16">
        <f>IF(D27&gt;0, VLOOKUP(D27-D$5-(INT($M27/9)+(MOD($M27,9)&gt;=D$6)), '[1]Point System'!$A$4:$B$15, 2),"")</f>
        <v>3</v>
      </c>
      <c r="E28" s="16">
        <f>IF(E27&gt;0, VLOOKUP(E27-E$5-(INT($M27/9)+(MOD($M27,9)&gt;=E$6)), '[1]Point System'!$A$4:$B$15, 2),"")</f>
        <v>1</v>
      </c>
      <c r="F28" s="16">
        <f>IF(F27&gt;0, VLOOKUP(F27-F$5-(INT($M27/9)+(MOD($M27,9)&gt;=F$6)), '[1]Point System'!$A$4:$B$15, 2),"")</f>
        <v>2</v>
      </c>
      <c r="G28" s="16">
        <f>IF(G27&gt;0, VLOOKUP(G27-G$5-(INT($M27/9)+(MOD($M27,9)&gt;=G$6)), '[1]Point System'!$A$4:$B$15, 2),"")</f>
        <v>2</v>
      </c>
      <c r="H28" s="16">
        <f>IF(H27&gt;0, VLOOKUP(H27-H$5-(INT($M27/9)+(MOD($M27,9)&gt;=H$6)), '[1]Point System'!$A$4:$B$15, 2),"")</f>
        <v>1</v>
      </c>
      <c r="I28" s="16">
        <f>IF(I27&gt;0, VLOOKUP(I27-I$5-(INT($M27/9)+(MOD($M27,9)&gt;=I$6)), '[1]Point System'!$A$4:$B$15, 2),"")</f>
        <v>1</v>
      </c>
      <c r="J28" s="16">
        <f>IF(J27&gt;0, VLOOKUP(J27-J$5-(INT($M27/9)+(MOD($M27,9)&gt;=J$6)), '[1]Point System'!$A$4:$B$15, 2),"")</f>
        <v>3</v>
      </c>
      <c r="K28" s="16">
        <f>IF(K27&gt;0, VLOOKUP(K27-K$5-(INT($M27/9)+(MOD($M27,9)&gt;=K$6)), '[1]Point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'[1]Point System'!$A$4:$B$15, 2),"")</f>
        <v>2</v>
      </c>
      <c r="D30" s="16">
        <f>IF(D29&gt;0, VLOOKUP(D29-D$5-(INT($M29/9)+(MOD($M29,9)&gt;=D$6)), '[1]Point System'!$A$4:$B$15, 2),"")</f>
        <v>0</v>
      </c>
      <c r="E30" s="16">
        <f>IF(E29&gt;0, VLOOKUP(E29-E$5-(INT($M29/9)+(MOD($M29,9)&gt;=E$6)), '[1]Point System'!$A$4:$B$15, 2),"")</f>
        <v>1</v>
      </c>
      <c r="F30" s="16">
        <f>IF(F29&gt;0, VLOOKUP(F29-F$5-(INT($M29/9)+(MOD($M29,9)&gt;=F$6)), '[1]Point System'!$A$4:$B$15, 2),"")</f>
        <v>0</v>
      </c>
      <c r="G30" s="16">
        <f>IF(G29&gt;0, VLOOKUP(G29-G$5-(INT($M29/9)+(MOD($M29,9)&gt;=G$6)), '[1]Point System'!$A$4:$B$15, 2),"")</f>
        <v>3</v>
      </c>
      <c r="H30" s="16">
        <f>IF(H29&gt;0, VLOOKUP(H29-H$5-(INT($M29/9)+(MOD($M29,9)&gt;=H$6)), '[1]Point System'!$A$4:$B$15, 2),"")</f>
        <v>2</v>
      </c>
      <c r="I30" s="16">
        <f>IF(I29&gt;0, VLOOKUP(I29-I$5-(INT($M29/9)+(MOD($M29,9)&gt;=I$6)), '[1]Point System'!$A$4:$B$15, 2),"")</f>
        <v>2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L29" sqref="L29"/>
    </sheetView>
  </sheetViews>
  <sheetFormatPr baseColWidth="10" defaultColWidth="14.1640625" defaultRowHeight="14" x14ac:dyDescent="0.15"/>
  <cols>
    <col min="1" max="1" width="14.6640625" style="37" customWidth="1"/>
    <col min="2" max="2" width="9.1640625" style="37" bestFit="1" customWidth="1"/>
    <col min="3" max="11" width="5" style="37" customWidth="1"/>
    <col min="12" max="12" width="5.1640625" style="37" bestFit="1" customWidth="1"/>
    <col min="13" max="13" width="6.1640625" style="37" bestFit="1" customWidth="1"/>
    <col min="14" max="14" width="5" style="37" bestFit="1" customWidth="1"/>
    <col min="15" max="15" width="9.5" style="37" customWidth="1"/>
    <col min="16" max="26" width="8.6640625" style="37" customWidth="1"/>
    <col min="27" max="16384" width="14.1640625" style="37"/>
  </cols>
  <sheetData>
    <row r="1" spans="1:26" ht="17" x14ac:dyDescent="0.3">
      <c r="A1" s="65" t="s">
        <v>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" x14ac:dyDescent="0.2">
      <c r="A2" s="67" t="s">
        <v>3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20" thickBot="1" x14ac:dyDescent="0.3">
      <c r="A3" s="39"/>
      <c r="B3" s="38"/>
      <c r="C3" s="40"/>
      <c r="D3" s="40"/>
      <c r="E3" s="40"/>
      <c r="F3" s="40"/>
      <c r="G3" s="40"/>
      <c r="H3" s="40"/>
      <c r="I3" s="40"/>
      <c r="J3" s="40"/>
      <c r="K3" s="40"/>
      <c r="L3" s="41"/>
      <c r="M3" s="40"/>
      <c r="N3" s="40"/>
      <c r="O3" s="41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40" x14ac:dyDescent="0.2">
      <c r="A4" s="42" t="s">
        <v>4</v>
      </c>
      <c r="B4" s="43" t="s">
        <v>5</v>
      </c>
      <c r="C4" s="43">
        <v>1</v>
      </c>
      <c r="D4" s="43">
        <v>2</v>
      </c>
      <c r="E4" s="43">
        <v>3</v>
      </c>
      <c r="F4" s="43">
        <v>4</v>
      </c>
      <c r="G4" s="43">
        <v>5</v>
      </c>
      <c r="H4" s="43">
        <v>6</v>
      </c>
      <c r="I4" s="43">
        <v>7</v>
      </c>
      <c r="J4" s="43">
        <v>8</v>
      </c>
      <c r="K4" s="43">
        <v>9</v>
      </c>
      <c r="L4" s="43" t="s">
        <v>6</v>
      </c>
      <c r="M4" s="43" t="s">
        <v>7</v>
      </c>
      <c r="N4" s="43" t="s">
        <v>8</v>
      </c>
      <c r="O4" s="44" t="s">
        <v>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9" x14ac:dyDescent="0.2">
      <c r="A5" s="45"/>
      <c r="B5" s="46" t="s">
        <v>10</v>
      </c>
      <c r="C5" s="46">
        <v>4</v>
      </c>
      <c r="D5" s="46">
        <v>5</v>
      </c>
      <c r="E5" s="46">
        <v>4</v>
      </c>
      <c r="F5" s="46">
        <v>3</v>
      </c>
      <c r="G5" s="46">
        <v>4</v>
      </c>
      <c r="H5" s="46">
        <v>4</v>
      </c>
      <c r="I5" s="46">
        <v>3</v>
      </c>
      <c r="J5" s="46">
        <v>4</v>
      </c>
      <c r="K5" s="46">
        <v>5</v>
      </c>
      <c r="L5" s="47">
        <f>SUM(C5:K5)</f>
        <v>36</v>
      </c>
      <c r="M5" s="46"/>
      <c r="N5" s="46"/>
      <c r="O5" s="48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20" thickBot="1" x14ac:dyDescent="0.25">
      <c r="A6" s="49"/>
      <c r="B6" s="50" t="s">
        <v>24</v>
      </c>
      <c r="C6" s="50">
        <v>4</v>
      </c>
      <c r="D6" s="50">
        <v>1</v>
      </c>
      <c r="E6" s="50">
        <v>3</v>
      </c>
      <c r="F6" s="50">
        <v>9</v>
      </c>
      <c r="G6" s="50">
        <v>5</v>
      </c>
      <c r="H6" s="50">
        <v>7</v>
      </c>
      <c r="I6" s="50">
        <v>8</v>
      </c>
      <c r="J6" s="50">
        <v>6</v>
      </c>
      <c r="K6" s="50">
        <v>2</v>
      </c>
      <c r="L6" s="51"/>
      <c r="M6" s="50"/>
      <c r="N6" s="50"/>
      <c r="O6" s="52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9" x14ac:dyDescent="0.2">
      <c r="A7" s="53" t="s">
        <v>28</v>
      </c>
      <c r="B7" s="54" t="s">
        <v>23</v>
      </c>
      <c r="C7" s="54">
        <v>7</v>
      </c>
      <c r="D7" s="54">
        <v>6</v>
      </c>
      <c r="E7" s="54">
        <v>6</v>
      </c>
      <c r="F7" s="54">
        <v>3</v>
      </c>
      <c r="G7" s="54">
        <v>7</v>
      </c>
      <c r="H7" s="54">
        <v>8</v>
      </c>
      <c r="I7" s="54">
        <v>4</v>
      </c>
      <c r="J7" s="54">
        <v>6</v>
      </c>
      <c r="K7" s="54">
        <v>9</v>
      </c>
      <c r="L7" s="55">
        <f t="shared" ref="L7:L10" si="0">IF(SUM(C7:K7)&gt;0, SUM(C7:K7),"")</f>
        <v>56</v>
      </c>
      <c r="M7" s="54">
        <v>21</v>
      </c>
      <c r="N7" s="54">
        <f>IF(L7&lt;&gt;"",L7- M7, "")</f>
        <v>35</v>
      </c>
      <c r="O7" s="56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20" thickBot="1" x14ac:dyDescent="0.25">
      <c r="A8" s="57"/>
      <c r="B8" s="58" t="s">
        <v>25</v>
      </c>
      <c r="C8" s="58">
        <f>IF(C7&gt;0, VLOOKUP(C7-C$5-(INT($M7/9)+(MOD($M7,9)&gt;=C$6)), 'Point System'!$A$4:$B$15, 2),"")</f>
        <v>1</v>
      </c>
      <c r="D8" s="58">
        <f>IF(D7&gt;0, VLOOKUP(D7-D$5-(INT($M7/9)+(MOD($M7,9)&gt;=D$6)), 'Point System'!$A$4:$B$15, 2),"")</f>
        <v>4</v>
      </c>
      <c r="E8" s="58">
        <f>IF(E7&gt;0, VLOOKUP(E7-E$5-(INT($M7/9)+(MOD($M7,9)&gt;=E$6)), 'Point System'!$A$4:$B$15, 2),"")</f>
        <v>3</v>
      </c>
      <c r="F8" s="58">
        <f>IF(F7&gt;0, VLOOKUP(F7-F$5-(INT($M7/9)+(MOD($M7,9)&gt;=F$6)), 'Point System'!$A$4:$B$15, 2),"")</f>
        <v>4</v>
      </c>
      <c r="G8" s="58">
        <f>IF(G7&gt;0, VLOOKUP(G7-G$5-(INT($M7/9)+(MOD($M7,9)&gt;=G$6)), 'Point System'!$A$4:$B$15, 2),"")</f>
        <v>1</v>
      </c>
      <c r="H8" s="58">
        <f>IF(H7&gt;0, VLOOKUP(H7-H$5-(INT($M7/9)+(MOD($M7,9)&gt;=H$6)), 'Point System'!$A$4:$B$15, 2),"")</f>
        <v>0</v>
      </c>
      <c r="I8" s="58">
        <f>IF(I7&gt;0, VLOOKUP(I7-I$5-(INT($M7/9)+(MOD($M7,9)&gt;=I$6)), 'Point System'!$A$4:$B$15, 2),"")</f>
        <v>3</v>
      </c>
      <c r="J8" s="58">
        <f>IF(J7&gt;0, VLOOKUP(J7-J$5-(INT($M7/9)+(MOD($M7,9)&gt;=J$6)), 'Point System'!$A$4:$B$15, 2),"")</f>
        <v>2</v>
      </c>
      <c r="K8" s="58">
        <f>IF(K7&gt;0, VLOOKUP(K7-K$5-(INT($M7/9)+(MOD($M7,9)&gt;=K$6)), 'Point System'!$A$4:$B$15, 2),"")</f>
        <v>1</v>
      </c>
      <c r="L8" s="59">
        <f t="shared" si="0"/>
        <v>19</v>
      </c>
      <c r="M8" s="58"/>
      <c r="N8" s="58"/>
      <c r="O8" s="60">
        <f>IF(L8&lt;&gt;"", L8, "")</f>
        <v>19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9" x14ac:dyDescent="0.2">
      <c r="A9" s="53" t="s">
        <v>31</v>
      </c>
      <c r="B9" s="54"/>
      <c r="C9" s="54">
        <v>6</v>
      </c>
      <c r="D9" s="54">
        <v>6</v>
      </c>
      <c r="E9" s="54">
        <v>6</v>
      </c>
      <c r="F9" s="54">
        <v>4</v>
      </c>
      <c r="G9" s="54">
        <v>6</v>
      </c>
      <c r="H9" s="54">
        <v>7</v>
      </c>
      <c r="I9" s="54">
        <v>4</v>
      </c>
      <c r="J9" s="54">
        <v>6</v>
      </c>
      <c r="K9" s="54">
        <v>7</v>
      </c>
      <c r="L9" s="55">
        <f t="shared" si="0"/>
        <v>52</v>
      </c>
      <c r="M9" s="54">
        <v>15</v>
      </c>
      <c r="N9" s="54">
        <f>IF(L9&lt;&gt;"",L9- M9, "")</f>
        <v>37</v>
      </c>
      <c r="O9" s="56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20" thickBot="1" x14ac:dyDescent="0.25">
      <c r="A10" s="57"/>
      <c r="B10" s="58"/>
      <c r="C10" s="58">
        <f>IF(C9&gt;0, VLOOKUP(C9-C$5-(INT($M9/9)+(MOD($M9,9)&gt;=C$6)), 'Point System'!$A$4:$B$15, 2),"")</f>
        <v>2</v>
      </c>
      <c r="D10" s="58">
        <f>IF(D9&gt;0, VLOOKUP(D9-D$5-(INT($M9/9)+(MOD($M9,9)&gt;=D$6)), 'Point System'!$A$4:$B$15, 2),"")</f>
        <v>3</v>
      </c>
      <c r="E10" s="58">
        <f>IF(E9&gt;0, VLOOKUP(E9-E$5-(INT($M9/9)+(MOD($M9,9)&gt;=E$6)), 'Point System'!$A$4:$B$15, 2),"")</f>
        <v>2</v>
      </c>
      <c r="F10" s="58">
        <f>IF(F9&gt;0, VLOOKUP(F9-F$5-(INT($M9/9)+(MOD($M9,9)&gt;=F$6)), 'Point System'!$A$4:$B$15, 2),"")</f>
        <v>2</v>
      </c>
      <c r="G10" s="58">
        <f>IF(G9&gt;0, VLOOKUP(G9-G$5-(INT($M9/9)+(MOD($M9,9)&gt;=G$6)), 'Point System'!$A$4:$B$15, 2),"")</f>
        <v>2</v>
      </c>
      <c r="H10" s="58">
        <f>IF(H9&gt;0, VLOOKUP(H9-H$5-(INT($M9/9)+(MOD($M9,9)&gt;=H$6)), 'Point System'!$A$4:$B$15, 2),"")</f>
        <v>0</v>
      </c>
      <c r="I10" s="58">
        <f>IF(I9&gt;0, VLOOKUP(I9-I$5-(INT($M9/9)+(MOD($M9,9)&gt;=I$6)), 'Point System'!$A$4:$B$15, 2),"")</f>
        <v>2</v>
      </c>
      <c r="J10" s="58">
        <f>IF(J9&gt;0, VLOOKUP(J9-J$5-(INT($M9/9)+(MOD($M9,9)&gt;=J$6)), 'Point System'!$A$4:$B$15, 2),"")</f>
        <v>2</v>
      </c>
      <c r="K10" s="58">
        <f>IF(K9&gt;0, VLOOKUP(K9-K$5-(INT($M9/9)+(MOD($M9,9)&gt;=K$6)), 'Point System'!$A$4:$B$15, 2),"")</f>
        <v>2</v>
      </c>
      <c r="L10" s="59">
        <f t="shared" si="0"/>
        <v>17</v>
      </c>
      <c r="M10" s="58"/>
      <c r="N10" s="58"/>
      <c r="O10" s="60">
        <f>IF(L10&lt;&gt;"", L10, "")</f>
        <v>17</v>
      </c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18" sqref="C18:K1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28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2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1</v>
      </c>
      <c r="F8" s="16">
        <f>IF(F7&gt;0, VLOOKUP(F7-F$5-(INT($M7/9)+(MOD($M7,9)&gt;=F$6)), '[2]Point System'!$A$4:$B$15, 2),"")</f>
        <v>1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3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1</v>
      </c>
      <c r="K8" s="16">
        <f>IF(K7&gt;0, VLOOKUP(K7-K$5-(INT($M7/9)+(MOD($M7,9)&gt;=K$6)), '[2]Point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1</v>
      </c>
      <c r="D10" s="16">
        <f>IF(D9&gt;0, VLOOKUP(D9-D$5-(INT($M9/9)+(MOD($M9,9)&gt;=D$6)), '[2]Point System'!$A$4:$B$15, 2),"")</f>
        <v>1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2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1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2</v>
      </c>
      <c r="K14" s="16">
        <f>IF(K13&gt;0, VLOOKUP(K13-K$5-(INT($M13/9)+(MOD($M13,9)&gt;=K$6)), '[2]Point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0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2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2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2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0</v>
      </c>
      <c r="H20" s="16">
        <f>IF(H19&gt;0, VLOOKUP(H19-H$5-(INT($M19/9)+(MOD($M19,9)&gt;=H$6)), '[2]Point System'!$A$4:$B$15, 2),"")</f>
        <v>1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N27" sqref="N2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2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1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2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2</v>
      </c>
      <c r="K10" s="16">
        <f>IF(K9&gt;0, VLOOKUP(K9-K$5-(INT($M9/9)+(MOD($M9,9)&gt;=K$6)), '[2]Point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2</v>
      </c>
      <c r="D12" s="16">
        <f>IF(D11&gt;0, VLOOKUP(D11-D$5-(INT($M11/9)+(MOD($M11,9)&gt;=D$6)), '[2]Point System'!$A$4:$B$15, 2),"")</f>
        <v>4</v>
      </c>
      <c r="E12" s="16">
        <f>IF(E11&gt;0, VLOOKUP(E11-E$5-(INT($M11/9)+(MOD($M11,9)&gt;=E$6)), '[2]Point System'!$A$4:$B$15, 2),"")</f>
        <v>4</v>
      </c>
      <c r="F12" s="16">
        <f>IF(F11&gt;0, VLOOKUP(F11-F$5-(INT($M11/9)+(MOD($M11,9)&gt;=F$6)), '[2]Point System'!$A$4:$B$15, 2),"")</f>
        <v>3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28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21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3</v>
      </c>
      <c r="G14" s="16">
        <f>IF(G13&gt;0, VLOOKUP(G13-G$5-(INT($M13/9)+(MOD($M13,9)&gt;=G$6)), '[2]Point System'!$A$4:$B$15, 2),"")</f>
        <v>0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1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4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30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4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1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2</v>
      </c>
      <c r="K16" s="16">
        <f>IF(K15&gt;0, VLOOKUP(K15-K$5-(INT($M15/9)+(MOD($M15,9)&gt;=K$6)), '[2]Point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3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1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1</v>
      </c>
      <c r="K18" s="16">
        <f>IF(K17&gt;0, VLOOKUP(K17-K$5-(INT($M17/9)+(MOD($M17,9)&gt;=K$6)), '[2]Point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1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1</v>
      </c>
      <c r="H20" s="16">
        <f>IF(H19&gt;0, VLOOKUP(H19-H$5-(INT($M19/9)+(MOD($M19,9)&gt;=H$6)), '[2]Point System'!$A$4:$B$15, 2),"")</f>
        <v>3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0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2</v>
      </c>
      <c r="H22" s="16">
        <f>IF(H21&gt;0, VLOOKUP(H21-H$5-(INT($M21/9)+(MOD($M21,9)&gt;=H$6)), '[2]Point System'!$A$4:$B$15, 2),"")</f>
        <v>1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3</v>
      </c>
      <c r="K22" s="16">
        <f>IF(K21&gt;0, VLOOKUP(K21-K$5-(INT($M21/9)+(MOD($M21,9)&gt;=K$6)), '[2]Point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2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1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3</v>
      </c>
      <c r="J24" s="16">
        <f>IF(J23&gt;0, VLOOKUP(J23-J$5-(INT($M23/9)+(MOD($M23,9)&gt;=J$6)), '[2]Point System'!$A$4:$B$15, 2),"")</f>
        <v>2</v>
      </c>
      <c r="K24" s="16">
        <f>IF(K23&gt;0, VLOOKUP(K23-K$5-(INT($M23/9)+(MOD($M23,9)&gt;=K$6)), '[2]Point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 t="s">
        <v>1</v>
      </c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 t="str">
        <f t="shared" si="2"/>
        <v/>
      </c>
      <c r="M26" s="16"/>
      <c r="N26" s="16"/>
      <c r="O26" s="18" t="str">
        <f>IF(L26&lt;&gt;"", L26, "")</f>
        <v/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34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0</v>
      </c>
      <c r="E28" s="16">
        <f>IF(E27&gt;0, VLOOKUP(E27-E$5-(INT($M27/9)+(MOD($M27,9)&gt;=E$6)), '[2]Point System'!$A$4:$B$15, 2),"")</f>
        <v>2</v>
      </c>
      <c r="F28" s="16">
        <f>IF(F27&gt;0, VLOOKUP(F27-F$5-(INT($M27/9)+(MOD($M27,9)&gt;=F$6)), '[2]Point System'!$A$4:$B$15, 2),"")</f>
        <v>1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3</v>
      </c>
      <c r="J28" s="16">
        <f>IF(J27&gt;0, VLOOKUP(J27-J$5-(INT($M27/9)+(MOD($M27,9)&gt;=J$6)), '[2]Point System'!$A$4:$B$15, 2),"")</f>
        <v>1</v>
      </c>
      <c r="K28" s="16">
        <f>IF(K27&gt;0, VLOOKUP(K27-K$5-(INT($M27/9)+(MOD($M27,9)&gt;=K$6)), '[2]Point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23F16-0385-AC49-8E3E-C5508D61C3FA}">
  <dimension ref="A1:Z34"/>
  <sheetViews>
    <sheetView tabSelected="1" workbookViewId="0">
      <pane ySplit="6" topLeftCell="A13" activePane="bottomLeft" state="frozen"/>
      <selection activeCell="G22" sqref="G22"/>
      <selection pane="bottomLeft" activeCell="N31" sqref="N31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3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0</v>
      </c>
      <c r="I8" s="16">
        <f>IF(I7&gt;0, VLOOKUP(I7-I$5-(INT($M7/9)+(MOD($M7,9)&gt;=I$6)), '[2]Point System'!$A$4:$B$15, 2),"")</f>
        <v>0</v>
      </c>
      <c r="J8" s="16">
        <f>IF(J7&gt;0, VLOOKUP(J7-J$5-(INT($M7/9)+(MOD($M7,9)&gt;=J$6)), '[2]Point System'!$A$4:$B$15, 2),"")</f>
        <v>0</v>
      </c>
      <c r="K8" s="16">
        <f>IF(K7&gt;0, VLOOKUP(K7-K$5-(INT($M7/9)+(MOD($M7,9)&gt;=K$6)), '[2]Point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3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3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1</v>
      </c>
      <c r="K10" s="16">
        <f>IF(K9&gt;0, VLOOKUP(K9-K$5-(INT($M9/9)+(MOD($M9,9)&gt;=K$6)), '[2]Point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0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0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3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31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3</v>
      </c>
      <c r="G16" s="16">
        <f>IF(G15&gt;0, VLOOKUP(G15-G$5-(INT($M15/9)+(MOD($M15,9)&gt;=G$6)), '[2]Point System'!$A$4:$B$15, 2),"")</f>
        <v>3</v>
      </c>
      <c r="H16" s="16">
        <f>IF(H15&gt;0, VLOOKUP(H15-H$5-(INT($M15/9)+(MOD($M15,9)&gt;=H$6)), '[2]Point System'!$A$4:$B$15, 2),"")</f>
        <v>2</v>
      </c>
      <c r="I16" s="16">
        <f>IF(I15&gt;0, VLOOKUP(I15-I$5-(INT($M15/9)+(MOD($M15,9)&gt;=I$6)), '[2]Point System'!$A$4:$B$15, 2),"")</f>
        <v>1</v>
      </c>
      <c r="J16" s="16">
        <f>IF(J15&gt;0, VLOOKUP(J15-J$5-(INT($M15/9)+(MOD($M15,9)&gt;=J$6)), '[2]Point System'!$A$4:$B$15, 2),"")</f>
        <v>3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36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2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34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1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1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29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1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2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1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38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4</v>
      </c>
      <c r="D24" s="16">
        <f>IF(D23&gt;0, VLOOKUP(D23-D$5-(INT($M23/9)+(MOD($M23,9)&gt;=D$6)), '[2]Point System'!$A$4:$B$15, 2),"")</f>
        <v>3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3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4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37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2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1</v>
      </c>
      <c r="F26" s="16">
        <f>IF(F25&gt;0, VLOOKUP(F25-F$5-(INT($M25/9)+(MOD($M25,9)&gt;=F$6)), '[2]Point System'!$A$4:$B$15, 2),"")</f>
        <v>2</v>
      </c>
      <c r="G26" s="16">
        <f>IF(G25&gt;0, VLOOKUP(G25-G$5-(INT($M25/9)+(MOD($M25,9)&gt;=G$6)), '[2]Point System'!$A$4:$B$15, 2),"")</f>
        <v>2</v>
      </c>
      <c r="H26" s="16">
        <f>IF(H25&gt;0, VLOOKUP(H25-H$5-(INT($M25/9)+(MOD($M25,9)&gt;=H$6)), '[2]Point System'!$A$4:$B$15, 2),"")</f>
        <v>3</v>
      </c>
      <c r="I26" s="16">
        <f>IF(I25&gt;0, VLOOKUP(I25-I$5-(INT($M25/9)+(MOD($M25,9)&gt;=I$6)), '[2]Point System'!$A$4:$B$15, 2),"")</f>
        <v>0</v>
      </c>
      <c r="J26" s="16">
        <f>IF(J25&gt;0, VLOOKUP(J25-J$5-(INT($M25/9)+(MOD($M25,9)&gt;=J$6)), '[2]Point System'!$A$4:$B$15, 2),"")</f>
        <v>2</v>
      </c>
      <c r="K26" s="16">
        <f>IF(K25&gt;0, VLOOKUP(K25-K$5-(INT($M25/9)+(MOD($M25,9)&gt;=K$6)), '[2]Point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2</v>
      </c>
      <c r="E28" s="16">
        <f>IF(E27&gt;0, VLOOKUP(E27-E$5-(INT($M27/9)+(MOD($M27,9)&gt;=E$6)), '[2]Point System'!$A$4:$B$15, 2),"")</f>
        <v>1</v>
      </c>
      <c r="F28" s="16">
        <f>IF(F27&gt;0, VLOOKUP(F27-F$5-(INT($M27/9)+(MOD($M27,9)&gt;=F$6)), '[2]Point System'!$A$4:$B$15, 2),"")</f>
        <v>2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2</v>
      </c>
      <c r="J28" s="16">
        <f>IF(J27&gt;0, VLOOKUP(J27-J$5-(INT($M27/9)+(MOD($M27,9)&gt;=J$6)), '[2]Point System'!$A$4:$B$15, 2),"")</f>
        <v>2</v>
      </c>
      <c r="K28" s="16">
        <f>IF(K27&gt;0, VLOOKUP(K27-K$5-(INT($M27/9)+(MOD($M27,9)&gt;=K$6)), '[2]Point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33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 t="s">
        <v>1</v>
      </c>
      <c r="N29" s="61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28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'[2]Point System'!$A$4:$B$15, 2),"")</f>
        <v>3</v>
      </c>
      <c r="D32" s="16">
        <f>IF(D31&gt;0, VLOOKUP(D31-D$5-(INT($M31/9)+(MOD($M31,9)&gt;=D$6)), '[2]Point System'!$A$4:$B$15, 2),"")</f>
        <v>2</v>
      </c>
      <c r="E32" s="16">
        <f>IF(E31&gt;0, VLOOKUP(E31-E$5-(INT($M31/9)+(MOD($M31,9)&gt;=E$6)), '[2]Point System'!$A$4:$B$15, 2),"")</f>
        <v>1</v>
      </c>
      <c r="F32" s="16">
        <f>IF(F31&gt;0, VLOOKUP(F31-F$5-(INT($M31/9)+(MOD($M31,9)&gt;=F$6)), '[2]Point System'!$A$4:$B$15, 2),"")</f>
        <v>3</v>
      </c>
      <c r="G32" s="16">
        <f>IF(G31&gt;0, VLOOKUP(G31-G$5-(INT($M31/9)+(MOD($M31,9)&gt;=G$6)), '[2]Point System'!$A$4:$B$15, 2),"")</f>
        <v>4</v>
      </c>
      <c r="H32" s="16">
        <f>IF(H31&gt;0, VLOOKUP(H31-H$5-(INT($M31/9)+(MOD($M31,9)&gt;=H$6)), '[2]Point System'!$A$4:$B$15, 2),"")</f>
        <v>2</v>
      </c>
      <c r="I32" s="16">
        <f>IF(I31&gt;0, VLOOKUP(I31-I$5-(INT($M31/9)+(MOD($M31,9)&gt;=I$6)), '[2]Point System'!$A$4:$B$15, 2),"")</f>
        <v>2</v>
      </c>
      <c r="J32" s="16">
        <f>IF(J31&gt;0, VLOOKUP(J31-J$5-(INT($M31/9)+(MOD($M31,9)&gt;=J$6)), '[2]Point System'!$A$4:$B$15, 2),"")</f>
        <v>2</v>
      </c>
      <c r="K32" s="16">
        <f>IF(K31&gt;0, VLOOKUP(K31-K$5-(INT($M31/9)+(MOD($M31,9)&gt;=K$6)), '[2]Point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'[2]Point System'!$A$4:$B$15, 2),"")</f>
        <v>0</v>
      </c>
      <c r="D34" s="16">
        <f>IF(D33&gt;0, VLOOKUP(D33-D$5-(INT($M33/9)+(MOD($M33,9)&gt;=D$6)), '[2]Point System'!$A$4:$B$15, 2),"")</f>
        <v>2</v>
      </c>
      <c r="E34" s="16">
        <f>IF(E33&gt;0, VLOOKUP(E33-E$5-(INT($M33/9)+(MOD($M33,9)&gt;=E$6)), '[2]Point System'!$A$4:$B$15, 2),"")</f>
        <v>2</v>
      </c>
      <c r="F34" s="16">
        <f>IF(F33&gt;0, VLOOKUP(F33-F$5-(INT($M33/9)+(MOD($M33,9)&gt;=F$6)), '[2]Point System'!$A$4:$B$15, 2),"")</f>
        <v>2</v>
      </c>
      <c r="G34" s="16">
        <f>IF(G33&gt;0, VLOOKUP(G33-G$5-(INT($M33/9)+(MOD($M33,9)&gt;=G$6)), '[2]Point System'!$A$4:$B$15, 2),"")</f>
        <v>2</v>
      </c>
      <c r="H34" s="16">
        <f>IF(H33&gt;0, VLOOKUP(H33-H$5-(INT($M33/9)+(MOD($M33,9)&gt;=H$6)), '[2]Point System'!$A$4:$B$15, 2),"")</f>
        <v>0</v>
      </c>
      <c r="I34" s="16">
        <f>IF(I33&gt;0, VLOOKUP(I33-I$5-(INT($M33/9)+(MOD($M33,9)&gt;=I$6)), '[2]Point System'!$A$4:$B$15, 2),"")</f>
        <v>2</v>
      </c>
      <c r="J34" s="16">
        <f>IF(J33&gt;0, VLOOKUP(J33-J$5-(INT($M33/9)+(MOD($M33,9)&gt;=J$6)), '[2]Point System'!$A$4:$B$15, 2),"")</f>
        <v>2</v>
      </c>
      <c r="K34" s="16">
        <f>IF(K33&gt;0, VLOOKUP(K33-K$5-(INT($M33/9)+(MOD($M33,9)&gt;=K$6)), '[2]Point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2B6C68F-D460-C748-A5EF-0375DFC4A134}"/>
  </hyperlinks>
  <pageMargins left="0.7" right="0.7" top="0.75" bottom="0.75" header="0" footer="0"/>
  <pageSetup orientation="portrait"/>
  <ignoredErrors>
    <ignoredError sqref="L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2025-06-21T00:22:59Z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</Properties>
</file>