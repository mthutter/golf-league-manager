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ntumcms-my.sharepoint.com/personal/mark_hutter_amentumcms_com/Documents/DATA/Code/golf-league-site/public/results/2025/"/>
    </mc:Choice>
  </mc:AlternateContent>
  <xr:revisionPtr revIDLastSave="17" documentId="13_ncr:1_{31BE85AC-56BD-4F87-AAC2-D66AECFDECD3}" xr6:coauthVersionLast="47" xr6:coauthVersionMax="47" xr10:uidLastSave="{90605EAC-8619-49E4-89A4-3B1B6BC43AC6}"/>
  <bookViews>
    <workbookView xWindow="3405" yWindow="1005" windowWidth="31455" windowHeight="15375" xr2:uid="{F705A57A-943D-4C93-A0B0-17476496A7BD}"/>
  </bookViews>
  <sheets>
    <sheet name="Week 10 Sk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1" l="1"/>
  <c r="N28" i="1"/>
  <c r="N25" i="1"/>
  <c r="N22" i="1"/>
  <c r="N19" i="1"/>
  <c r="N13" i="1"/>
  <c r="N10" i="1"/>
  <c r="O29" i="1"/>
  <c r="K28" i="1"/>
  <c r="J28" i="1"/>
  <c r="I28" i="1"/>
  <c r="H28" i="1"/>
  <c r="G28" i="1"/>
  <c r="F28" i="1"/>
  <c r="E28" i="1"/>
  <c r="D28" i="1"/>
  <c r="C28" i="1"/>
  <c r="L27" i="1"/>
  <c r="K25" i="1"/>
  <c r="J25" i="1"/>
  <c r="I25" i="1"/>
  <c r="H25" i="1"/>
  <c r="G25" i="1"/>
  <c r="F25" i="1"/>
  <c r="E25" i="1"/>
  <c r="D25" i="1"/>
  <c r="C25" i="1"/>
  <c r="L24" i="1"/>
  <c r="L21" i="1" l="1"/>
  <c r="K22" i="1"/>
  <c r="J22" i="1"/>
  <c r="I22" i="1"/>
  <c r="H22" i="1"/>
  <c r="G22" i="1"/>
  <c r="F22" i="1"/>
  <c r="E22" i="1"/>
  <c r="D22" i="1"/>
  <c r="C22" i="1"/>
  <c r="K19" i="1"/>
  <c r="J19" i="1"/>
  <c r="I19" i="1"/>
  <c r="H19" i="1"/>
  <c r="G19" i="1"/>
  <c r="F19" i="1"/>
  <c r="E19" i="1"/>
  <c r="D19" i="1"/>
  <c r="C19" i="1"/>
  <c r="L18" i="1"/>
  <c r="K16" i="1" l="1"/>
  <c r="J16" i="1"/>
  <c r="I16" i="1"/>
  <c r="H16" i="1"/>
  <c r="G16" i="1"/>
  <c r="F16" i="1"/>
  <c r="E16" i="1"/>
  <c r="D16" i="1"/>
  <c r="C16" i="1"/>
  <c r="L15" i="1"/>
  <c r="K13" i="1"/>
  <c r="J13" i="1"/>
  <c r="I13" i="1"/>
  <c r="H13" i="1"/>
  <c r="G13" i="1"/>
  <c r="F13" i="1"/>
  <c r="E13" i="1"/>
  <c r="D13" i="1"/>
  <c r="C13" i="1"/>
  <c r="L12" i="1"/>
  <c r="K10" i="1"/>
  <c r="J10" i="1"/>
  <c r="I10" i="1"/>
  <c r="H10" i="1"/>
  <c r="G10" i="1"/>
  <c r="F10" i="1"/>
  <c r="E10" i="1"/>
  <c r="D10" i="1"/>
  <c r="C10" i="1"/>
  <c r="L9" i="1"/>
  <c r="K7" i="1"/>
  <c r="J7" i="1"/>
  <c r="I7" i="1"/>
  <c r="H7" i="1"/>
  <c r="G7" i="1"/>
  <c r="F7" i="1"/>
  <c r="E7" i="1"/>
  <c r="D7" i="1"/>
  <c r="C7" i="1"/>
  <c r="L6" i="1"/>
</calcChain>
</file>

<file path=xl/sharedStrings.xml><?xml version="1.0" encoding="utf-8"?>
<sst xmlns="http://schemas.openxmlformats.org/spreadsheetml/2006/main" count="54" uniqueCount="29">
  <si>
    <t>Skins Won</t>
  </si>
  <si>
    <t>Take</t>
  </si>
  <si>
    <t>PLAYER</t>
  </si>
  <si>
    <t>Hole</t>
  </si>
  <si>
    <t>PAR</t>
  </si>
  <si>
    <t>Handicap</t>
  </si>
  <si>
    <t>Mark Y</t>
  </si>
  <si>
    <t>Randy W</t>
  </si>
  <si>
    <t>Mark H</t>
  </si>
  <si>
    <t>HDCP</t>
  </si>
  <si>
    <t>Tony A</t>
  </si>
  <si>
    <t>Score</t>
  </si>
  <si>
    <t>Strokes</t>
  </si>
  <si>
    <t>Net</t>
  </si>
  <si>
    <t>Kevin W</t>
  </si>
  <si>
    <t>Shayne I</t>
  </si>
  <si>
    <t>Ami B</t>
  </si>
  <si>
    <t>John B</t>
  </si>
  <si>
    <t>Mark H (.5)</t>
  </si>
  <si>
    <t>John B (.5)</t>
  </si>
  <si>
    <t>Randy (.5)</t>
  </si>
  <si>
    <t>Ami (.5)</t>
  </si>
  <si>
    <t>Shayne (.5)</t>
  </si>
  <si>
    <t>Tony (.5)</t>
  </si>
  <si>
    <t>Skins ($40) $4.44/hole</t>
  </si>
  <si>
    <t>&lt;NONE&gt;</t>
  </si>
  <si>
    <t>Randy (1)</t>
  </si>
  <si>
    <t>Tony (1)</t>
  </si>
  <si>
    <t>John B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</si>
</sst>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/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1" fillId="0" borderId="2" xfId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wrapText="1"/>
    </xf>
    <xf numFmtId="164" fontId="3" fillId="0" borderId="9" xfId="1" applyNumberFormat="1" applyFon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0" fontId="3" fillId="3" borderId="11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3" fillId="0" borderId="14" xfId="1" applyFont="1" applyBorder="1" applyAlignment="1">
      <alignment horizontal="center" wrapText="1"/>
    </xf>
    <xf numFmtId="164" fontId="3" fillId="0" borderId="14" xfId="1" applyNumberFormat="1" applyFont="1" applyBorder="1" applyAlignment="1">
      <alignment horizontal="center"/>
    </xf>
    <xf numFmtId="0" fontId="3" fillId="4" borderId="16" xfId="1" applyFont="1" applyFill="1" applyBorder="1" applyAlignment="1">
      <alignment horizontal="center" vertical="center"/>
    </xf>
    <xf numFmtId="0" fontId="3" fillId="4" borderId="17" xfId="1" applyFont="1" applyFill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wrapText="1"/>
    </xf>
    <xf numFmtId="164" fontId="5" fillId="0" borderId="14" xfId="1" applyNumberFormat="1" applyFont="1" applyBorder="1" applyAlignment="1">
      <alignment horizont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wrapText="1"/>
    </xf>
    <xf numFmtId="164" fontId="3" fillId="0" borderId="24" xfId="1" applyNumberFormat="1" applyFont="1" applyBorder="1" applyAlignment="1">
      <alignment horizontal="center"/>
    </xf>
    <xf numFmtId="0" fontId="5" fillId="0" borderId="7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4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4" borderId="15" xfId="1" applyFont="1" applyFill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3" fillId="5" borderId="18" xfId="1" applyFont="1" applyFill="1" applyBorder="1" applyAlignment="1">
      <alignment horizontal="center" vertical="center"/>
    </xf>
    <xf numFmtId="0" fontId="7" fillId="5" borderId="16" xfId="1" applyFont="1" applyFill="1" applyBorder="1" applyAlignment="1">
      <alignment horizontal="center" vertical="center"/>
    </xf>
    <xf numFmtId="0" fontId="7" fillId="6" borderId="16" xfId="1" applyFont="1" applyFill="1" applyBorder="1" applyAlignment="1">
      <alignment horizontal="center" vertical="center"/>
    </xf>
    <xf numFmtId="0" fontId="7" fillId="6" borderId="17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 textRotation="180"/>
    </xf>
    <xf numFmtId="0" fontId="4" fillId="2" borderId="13" xfId="1" applyFont="1" applyFill="1" applyBorder="1" applyAlignment="1">
      <alignment horizontal="center" vertical="center" textRotation="180"/>
    </xf>
    <xf numFmtId="0" fontId="4" fillId="2" borderId="23" xfId="1" applyFont="1" applyFill="1" applyBorder="1" applyAlignment="1">
      <alignment horizontal="center" vertical="center" textRotation="180"/>
    </xf>
    <xf numFmtId="164" fontId="8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AB060260-84D7-494A-9D82-8B0A17017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C831-685C-42E6-9510-7BA05FCAF636}">
  <dimension ref="A1:O30"/>
  <sheetViews>
    <sheetView tabSelected="1" workbookViewId="0">
      <selection activeCell="S15" sqref="S15"/>
    </sheetView>
  </sheetViews>
  <sheetFormatPr defaultColWidth="9.140625" defaultRowHeight="15" x14ac:dyDescent="0.25"/>
  <cols>
    <col min="1" max="1" width="9.85546875" style="23" bestFit="1" customWidth="1"/>
    <col min="2" max="2" width="7.42578125" style="23" customWidth="1"/>
    <col min="3" max="3" width="10.5703125" style="23" bestFit="1" customWidth="1"/>
    <col min="4" max="5" width="8.7109375" style="23" customWidth="1"/>
    <col min="6" max="6" width="11.7109375" style="23" bestFit="1" customWidth="1"/>
    <col min="7" max="7" width="8.7109375" style="23" customWidth="1"/>
    <col min="8" max="9" width="11.7109375" style="23" bestFit="1" customWidth="1"/>
    <col min="10" max="10" width="10.140625" style="23" bestFit="1" customWidth="1"/>
    <col min="11" max="11" width="8.7109375" style="23" customWidth="1"/>
    <col min="12" max="12" width="3.7109375" style="23" customWidth="1"/>
    <col min="13" max="13" width="5.5703125" style="23" bestFit="1" customWidth="1"/>
    <col min="14" max="14" width="7.42578125" style="23" customWidth="1"/>
    <col min="15" max="15" width="6.42578125" style="23" customWidth="1"/>
    <col min="16" max="16384" width="9.140625" style="23"/>
  </cols>
  <sheetData>
    <row r="1" spans="1:15" ht="34.5" customHeight="1" thickBot="1" x14ac:dyDescent="0.3">
      <c r="A1" s="41" t="s">
        <v>24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1"/>
      <c r="M1" s="2" t="s">
        <v>0</v>
      </c>
      <c r="N1" s="3"/>
      <c r="O1" s="4" t="s">
        <v>1</v>
      </c>
    </row>
    <row r="2" spans="1:15" ht="18.75" x14ac:dyDescent="0.25">
      <c r="A2" s="24" t="s">
        <v>2</v>
      </c>
      <c r="B2" s="5" t="s">
        <v>3</v>
      </c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6">
        <v>9</v>
      </c>
      <c r="L2" s="43" t="s">
        <v>9</v>
      </c>
      <c r="M2" s="7"/>
      <c r="N2" s="8"/>
      <c r="O2" s="9"/>
    </row>
    <row r="3" spans="1:15" x14ac:dyDescent="0.25">
      <c r="A3" s="25"/>
      <c r="B3" s="10" t="s">
        <v>4</v>
      </c>
      <c r="C3" s="10">
        <v>4</v>
      </c>
      <c r="D3" s="10">
        <v>5</v>
      </c>
      <c r="E3" s="10">
        <v>4</v>
      </c>
      <c r="F3" s="10">
        <v>3</v>
      </c>
      <c r="G3" s="10">
        <v>4</v>
      </c>
      <c r="H3" s="10">
        <v>4</v>
      </c>
      <c r="I3" s="10">
        <v>3</v>
      </c>
      <c r="J3" s="10">
        <v>4</v>
      </c>
      <c r="K3" s="11">
        <v>5</v>
      </c>
      <c r="L3" s="44"/>
      <c r="M3" s="12"/>
      <c r="N3" s="13"/>
      <c r="O3" s="13"/>
    </row>
    <row r="4" spans="1:15" ht="15.75" thickBot="1" x14ac:dyDescent="0.3">
      <c r="A4" s="26"/>
      <c r="B4" s="14" t="s">
        <v>5</v>
      </c>
      <c r="C4" s="14">
        <v>4</v>
      </c>
      <c r="D4" s="14">
        <v>1</v>
      </c>
      <c r="E4" s="14">
        <v>3</v>
      </c>
      <c r="F4" s="14">
        <v>9</v>
      </c>
      <c r="G4" s="14">
        <v>5</v>
      </c>
      <c r="H4" s="14">
        <v>7</v>
      </c>
      <c r="I4" s="14">
        <v>8</v>
      </c>
      <c r="J4" s="14">
        <v>6</v>
      </c>
      <c r="K4" s="15">
        <v>2</v>
      </c>
      <c r="L4" s="45"/>
      <c r="M4" s="12"/>
      <c r="N4" s="13"/>
      <c r="O4" s="13"/>
    </row>
    <row r="5" spans="1:15" x14ac:dyDescent="0.25">
      <c r="A5" s="37" t="s">
        <v>6</v>
      </c>
      <c r="B5" s="28" t="s">
        <v>11</v>
      </c>
      <c r="C5" s="32">
        <v>6</v>
      </c>
      <c r="D5" s="32">
        <v>7</v>
      </c>
      <c r="E5" s="32">
        <v>4</v>
      </c>
      <c r="F5" s="32">
        <v>4</v>
      </c>
      <c r="G5" s="32">
        <v>4</v>
      </c>
      <c r="H5" s="32">
        <v>5</v>
      </c>
      <c r="I5" s="32">
        <v>4</v>
      </c>
      <c r="J5" s="32">
        <v>6</v>
      </c>
      <c r="K5" s="32">
        <v>6</v>
      </c>
      <c r="L5" s="22"/>
      <c r="M5" s="17"/>
      <c r="N5" s="18"/>
      <c r="O5" s="13"/>
    </row>
    <row r="6" spans="1:15" x14ac:dyDescent="0.25">
      <c r="A6" s="31"/>
      <c r="B6" s="29" t="s">
        <v>12</v>
      </c>
      <c r="C6" s="33">
        <v>1</v>
      </c>
      <c r="D6" s="33">
        <v>2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4">
        <v>2</v>
      </c>
      <c r="L6" s="16">
        <f>SUM(C6:K6)</f>
        <v>11</v>
      </c>
      <c r="M6" s="17"/>
      <c r="N6" s="18"/>
      <c r="O6" s="13"/>
    </row>
    <row r="7" spans="1:15" ht="15.75" thickBot="1" x14ac:dyDescent="0.3">
      <c r="A7" s="27"/>
      <c r="B7" s="30" t="s">
        <v>13</v>
      </c>
      <c r="C7" s="35">
        <f>C5-C6</f>
        <v>5</v>
      </c>
      <c r="D7" s="35">
        <f t="shared" ref="D7:K7" si="0">D5-D6</f>
        <v>5</v>
      </c>
      <c r="E7" s="35">
        <f t="shared" si="0"/>
        <v>3</v>
      </c>
      <c r="F7" s="35">
        <f t="shared" si="0"/>
        <v>3</v>
      </c>
      <c r="G7" s="35">
        <f t="shared" si="0"/>
        <v>3</v>
      </c>
      <c r="H7" s="35">
        <f t="shared" si="0"/>
        <v>4</v>
      </c>
      <c r="I7" s="35">
        <f t="shared" si="0"/>
        <v>3</v>
      </c>
      <c r="J7" s="35">
        <f t="shared" si="0"/>
        <v>5</v>
      </c>
      <c r="K7" s="40">
        <f t="shared" si="0"/>
        <v>4</v>
      </c>
      <c r="L7" s="19"/>
      <c r="M7" s="17"/>
      <c r="N7" s="18"/>
      <c r="O7" s="13"/>
    </row>
    <row r="8" spans="1:15" x14ac:dyDescent="0.25">
      <c r="A8" s="37" t="s">
        <v>15</v>
      </c>
      <c r="B8" s="28" t="s">
        <v>11</v>
      </c>
      <c r="C8" s="32">
        <v>8</v>
      </c>
      <c r="D8" s="32">
        <v>7</v>
      </c>
      <c r="E8" s="32">
        <v>7</v>
      </c>
      <c r="F8" s="32">
        <v>4</v>
      </c>
      <c r="G8" s="32">
        <v>6</v>
      </c>
      <c r="H8" s="32">
        <v>5</v>
      </c>
      <c r="I8" s="32">
        <v>4</v>
      </c>
      <c r="J8" s="32">
        <v>6</v>
      </c>
      <c r="K8" s="32">
        <v>8</v>
      </c>
      <c r="L8" s="22"/>
      <c r="M8" s="17"/>
      <c r="N8" s="18"/>
      <c r="O8" s="13"/>
    </row>
    <row r="9" spans="1:15" x14ac:dyDescent="0.25">
      <c r="A9" s="31"/>
      <c r="B9" s="29" t="s">
        <v>12</v>
      </c>
      <c r="C9" s="33">
        <v>3</v>
      </c>
      <c r="D9" s="33">
        <v>3</v>
      </c>
      <c r="E9" s="33">
        <v>3</v>
      </c>
      <c r="F9" s="33">
        <v>2</v>
      </c>
      <c r="G9" s="33">
        <v>2</v>
      </c>
      <c r="H9" s="33">
        <v>2</v>
      </c>
      <c r="I9" s="33">
        <v>2</v>
      </c>
      <c r="J9" s="33">
        <v>2</v>
      </c>
      <c r="K9" s="34">
        <v>3</v>
      </c>
      <c r="L9" s="16">
        <f>SUM(C9:K9)</f>
        <v>22</v>
      </c>
      <c r="M9" s="17"/>
      <c r="N9" s="18"/>
      <c r="O9" s="13"/>
    </row>
    <row r="10" spans="1:15" ht="15.75" thickBot="1" x14ac:dyDescent="0.3">
      <c r="A10" s="27"/>
      <c r="B10" s="30" t="s">
        <v>13</v>
      </c>
      <c r="C10" s="35">
        <f>C8-C9</f>
        <v>5</v>
      </c>
      <c r="D10" s="35">
        <f t="shared" ref="D10:K10" si="1">D8-D9</f>
        <v>4</v>
      </c>
      <c r="E10" s="35">
        <f t="shared" si="1"/>
        <v>4</v>
      </c>
      <c r="F10" s="39">
        <f t="shared" si="1"/>
        <v>2</v>
      </c>
      <c r="G10" s="35">
        <f t="shared" si="1"/>
        <v>4</v>
      </c>
      <c r="H10" s="39">
        <f t="shared" si="1"/>
        <v>3</v>
      </c>
      <c r="I10" s="39">
        <f t="shared" si="1"/>
        <v>2</v>
      </c>
      <c r="J10" s="35">
        <f t="shared" si="1"/>
        <v>4</v>
      </c>
      <c r="K10" s="36">
        <f t="shared" si="1"/>
        <v>5</v>
      </c>
      <c r="L10" s="19"/>
      <c r="M10" s="17">
        <v>1.5</v>
      </c>
      <c r="N10" s="18">
        <f>M10*4.44</f>
        <v>6.66</v>
      </c>
      <c r="O10" s="13">
        <v>7</v>
      </c>
    </row>
    <row r="11" spans="1:15" x14ac:dyDescent="0.25">
      <c r="A11" s="37" t="s">
        <v>7</v>
      </c>
      <c r="B11" s="28" t="s">
        <v>11</v>
      </c>
      <c r="C11" s="32">
        <v>6</v>
      </c>
      <c r="D11" s="32">
        <v>5</v>
      </c>
      <c r="E11" s="32">
        <v>6</v>
      </c>
      <c r="F11" s="32">
        <v>5</v>
      </c>
      <c r="G11" s="32">
        <v>6</v>
      </c>
      <c r="H11" s="32">
        <v>6</v>
      </c>
      <c r="I11" s="32">
        <v>3</v>
      </c>
      <c r="J11" s="32">
        <v>5</v>
      </c>
      <c r="K11" s="32">
        <v>6</v>
      </c>
      <c r="L11" s="22"/>
      <c r="M11" s="17"/>
      <c r="N11" s="18"/>
      <c r="O11" s="13"/>
    </row>
    <row r="12" spans="1:15" x14ac:dyDescent="0.25">
      <c r="A12" s="31"/>
      <c r="B12" s="29" t="s">
        <v>12</v>
      </c>
      <c r="C12" s="33">
        <v>2</v>
      </c>
      <c r="D12" s="33">
        <v>2</v>
      </c>
      <c r="E12" s="33">
        <v>2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4">
        <v>2</v>
      </c>
      <c r="L12" s="16">
        <f>SUM(C12:K12)</f>
        <v>13</v>
      </c>
      <c r="M12" s="17"/>
      <c r="N12" s="18"/>
      <c r="O12" s="13"/>
    </row>
    <row r="13" spans="1:15" ht="15.75" thickBot="1" x14ac:dyDescent="0.3">
      <c r="A13" s="27"/>
      <c r="B13" s="30" t="s">
        <v>13</v>
      </c>
      <c r="C13" s="35">
        <f>C11-C12</f>
        <v>4</v>
      </c>
      <c r="D13" s="38">
        <f t="shared" ref="D13:K13" si="2">D11-D12</f>
        <v>3</v>
      </c>
      <c r="E13" s="35">
        <f t="shared" si="2"/>
        <v>4</v>
      </c>
      <c r="F13" s="35">
        <f t="shared" si="2"/>
        <v>4</v>
      </c>
      <c r="G13" s="35">
        <f t="shared" si="2"/>
        <v>5</v>
      </c>
      <c r="H13" s="35">
        <f t="shared" si="2"/>
        <v>5</v>
      </c>
      <c r="I13" s="39">
        <f t="shared" si="2"/>
        <v>2</v>
      </c>
      <c r="J13" s="35">
        <f t="shared" si="2"/>
        <v>4</v>
      </c>
      <c r="K13" s="40">
        <f t="shared" si="2"/>
        <v>4</v>
      </c>
      <c r="L13" s="19"/>
      <c r="M13" s="17">
        <v>1.5</v>
      </c>
      <c r="N13" s="18">
        <f>M13*4.44</f>
        <v>6.66</v>
      </c>
      <c r="O13" s="13">
        <v>7</v>
      </c>
    </row>
    <row r="14" spans="1:15" x14ac:dyDescent="0.25">
      <c r="A14" s="37" t="s">
        <v>14</v>
      </c>
      <c r="B14" s="28" t="s">
        <v>11</v>
      </c>
      <c r="C14" s="32">
        <v>6</v>
      </c>
      <c r="D14" s="32">
        <v>7</v>
      </c>
      <c r="E14" s="32">
        <v>7</v>
      </c>
      <c r="F14" s="32">
        <v>5</v>
      </c>
      <c r="G14" s="32">
        <v>6</v>
      </c>
      <c r="H14" s="32">
        <v>7</v>
      </c>
      <c r="I14" s="32">
        <v>5</v>
      </c>
      <c r="J14" s="32">
        <v>7</v>
      </c>
      <c r="K14" s="32">
        <v>8</v>
      </c>
      <c r="L14" s="22"/>
      <c r="M14" s="17"/>
      <c r="N14" s="18"/>
      <c r="O14" s="13"/>
    </row>
    <row r="15" spans="1:15" x14ac:dyDescent="0.25">
      <c r="A15" s="31"/>
      <c r="B15" s="29" t="s">
        <v>12</v>
      </c>
      <c r="C15" s="33">
        <v>2</v>
      </c>
      <c r="D15" s="33">
        <v>2</v>
      </c>
      <c r="E15" s="33">
        <v>2</v>
      </c>
      <c r="F15" s="33">
        <v>2</v>
      </c>
      <c r="G15" s="33">
        <v>2</v>
      </c>
      <c r="H15" s="33">
        <v>2</v>
      </c>
      <c r="I15" s="33">
        <v>2</v>
      </c>
      <c r="J15" s="33">
        <v>2</v>
      </c>
      <c r="K15" s="34">
        <v>2</v>
      </c>
      <c r="L15" s="16">
        <f>SUM(C15:K15)</f>
        <v>18</v>
      </c>
      <c r="M15" s="17"/>
      <c r="N15" s="18"/>
      <c r="O15" s="13"/>
    </row>
    <row r="16" spans="1:15" ht="15.75" thickBot="1" x14ac:dyDescent="0.3">
      <c r="A16" s="27"/>
      <c r="B16" s="30" t="s">
        <v>13</v>
      </c>
      <c r="C16" s="35">
        <f>C14-C15</f>
        <v>4</v>
      </c>
      <c r="D16" s="35">
        <f t="shared" ref="D16:K16" si="3">D14-D15</f>
        <v>5</v>
      </c>
      <c r="E16" s="35">
        <f t="shared" si="3"/>
        <v>5</v>
      </c>
      <c r="F16" s="35">
        <f t="shared" si="3"/>
        <v>3</v>
      </c>
      <c r="G16" s="35">
        <f t="shared" si="3"/>
        <v>4</v>
      </c>
      <c r="H16" s="35">
        <f t="shared" si="3"/>
        <v>5</v>
      </c>
      <c r="I16" s="35">
        <f t="shared" si="3"/>
        <v>3</v>
      </c>
      <c r="J16" s="35">
        <f t="shared" si="3"/>
        <v>5</v>
      </c>
      <c r="K16" s="36">
        <f t="shared" si="3"/>
        <v>6</v>
      </c>
      <c r="L16" s="19"/>
      <c r="M16" s="17"/>
      <c r="N16" s="18"/>
      <c r="O16" s="13"/>
    </row>
    <row r="17" spans="1:15" x14ac:dyDescent="0.25">
      <c r="A17" s="37" t="s">
        <v>8</v>
      </c>
      <c r="B17" s="28" t="s">
        <v>11</v>
      </c>
      <c r="C17" s="32">
        <v>4</v>
      </c>
      <c r="D17" s="32">
        <v>6</v>
      </c>
      <c r="E17" s="32">
        <v>5</v>
      </c>
      <c r="F17" s="32">
        <v>3</v>
      </c>
      <c r="G17" s="32">
        <v>4</v>
      </c>
      <c r="H17" s="32">
        <v>5</v>
      </c>
      <c r="I17" s="32">
        <v>4</v>
      </c>
      <c r="J17" s="32">
        <v>6</v>
      </c>
      <c r="K17" s="32">
        <v>7</v>
      </c>
      <c r="L17" s="16"/>
      <c r="M17" s="17"/>
      <c r="N17" s="18"/>
      <c r="O17" s="13"/>
    </row>
    <row r="18" spans="1:15" x14ac:dyDescent="0.25">
      <c r="A18" s="31"/>
      <c r="B18" s="29" t="s">
        <v>12</v>
      </c>
      <c r="C18" s="33">
        <v>1</v>
      </c>
      <c r="D18" s="33">
        <v>1</v>
      </c>
      <c r="E18" s="33">
        <v>1</v>
      </c>
      <c r="F18" s="33">
        <v>0</v>
      </c>
      <c r="G18" s="33">
        <v>1</v>
      </c>
      <c r="H18" s="33">
        <v>1</v>
      </c>
      <c r="I18" s="33">
        <v>1</v>
      </c>
      <c r="J18" s="33">
        <v>1</v>
      </c>
      <c r="K18" s="34">
        <v>1</v>
      </c>
      <c r="L18" s="16">
        <f>SUM(C18:K18)</f>
        <v>8</v>
      </c>
      <c r="M18" s="17"/>
      <c r="N18" s="18"/>
      <c r="O18" s="13"/>
    </row>
    <row r="19" spans="1:15" ht="15.75" thickBot="1" x14ac:dyDescent="0.3">
      <c r="A19" s="27"/>
      <c r="B19" s="30" t="s">
        <v>13</v>
      </c>
      <c r="C19" s="39">
        <f>C17-C18</f>
        <v>3</v>
      </c>
      <c r="D19" s="35">
        <f t="shared" ref="D19:K19" si="4">D17-D18</f>
        <v>5</v>
      </c>
      <c r="E19" s="35">
        <f t="shared" si="4"/>
        <v>4</v>
      </c>
      <c r="F19" s="35">
        <f t="shared" si="4"/>
        <v>3</v>
      </c>
      <c r="G19" s="35">
        <f t="shared" si="4"/>
        <v>3</v>
      </c>
      <c r="H19" s="35">
        <f t="shared" si="4"/>
        <v>4</v>
      </c>
      <c r="I19" s="35">
        <f t="shared" si="4"/>
        <v>3</v>
      </c>
      <c r="J19" s="35">
        <f t="shared" si="4"/>
        <v>5</v>
      </c>
      <c r="K19" s="35">
        <f t="shared" si="4"/>
        <v>6</v>
      </c>
      <c r="L19" s="19"/>
      <c r="M19" s="20">
        <v>0.5</v>
      </c>
      <c r="N19" s="18">
        <f>M19*4.44</f>
        <v>2.2200000000000002</v>
      </c>
      <c r="O19" s="21">
        <v>2</v>
      </c>
    </row>
    <row r="20" spans="1:15" x14ac:dyDescent="0.25">
      <c r="A20" s="37" t="s">
        <v>10</v>
      </c>
      <c r="B20" s="28" t="s">
        <v>11</v>
      </c>
      <c r="C20" s="32">
        <v>5</v>
      </c>
      <c r="D20" s="32">
        <v>6</v>
      </c>
      <c r="E20" s="32">
        <v>4</v>
      </c>
      <c r="F20" s="32">
        <v>4</v>
      </c>
      <c r="G20" s="32">
        <v>7</v>
      </c>
      <c r="H20" s="32">
        <v>4</v>
      </c>
      <c r="I20" s="32">
        <v>5</v>
      </c>
      <c r="J20" s="32">
        <v>5</v>
      </c>
      <c r="K20" s="32">
        <v>7</v>
      </c>
      <c r="L20" s="16"/>
      <c r="M20" s="17"/>
      <c r="N20" s="18"/>
      <c r="O20" s="13"/>
    </row>
    <row r="21" spans="1:15" x14ac:dyDescent="0.25">
      <c r="A21" s="31"/>
      <c r="B21" s="29" t="s">
        <v>12</v>
      </c>
      <c r="C21" s="33">
        <v>1</v>
      </c>
      <c r="D21" s="33">
        <v>2</v>
      </c>
      <c r="E21" s="33">
        <v>2</v>
      </c>
      <c r="F21" s="33">
        <v>1</v>
      </c>
      <c r="G21" s="33">
        <v>1</v>
      </c>
      <c r="H21" s="33">
        <v>1</v>
      </c>
      <c r="I21" s="33">
        <v>1</v>
      </c>
      <c r="J21" s="33">
        <v>1</v>
      </c>
      <c r="K21" s="34">
        <v>2</v>
      </c>
      <c r="L21" s="16">
        <f>SUM(C21:K21)</f>
        <v>12</v>
      </c>
      <c r="M21" s="17"/>
      <c r="N21" s="18"/>
      <c r="O21" s="13"/>
    </row>
    <row r="22" spans="1:15" ht="15.75" thickBot="1" x14ac:dyDescent="0.3">
      <c r="A22" s="27"/>
      <c r="B22" s="30" t="s">
        <v>13</v>
      </c>
      <c r="C22" s="35">
        <f>C20-C21</f>
        <v>4</v>
      </c>
      <c r="D22" s="35">
        <f t="shared" ref="D22:K22" si="5">D20-D21</f>
        <v>4</v>
      </c>
      <c r="E22" s="38">
        <f t="shared" si="5"/>
        <v>2</v>
      </c>
      <c r="F22" s="35">
        <f t="shared" si="5"/>
        <v>3</v>
      </c>
      <c r="G22" s="35">
        <f t="shared" si="5"/>
        <v>6</v>
      </c>
      <c r="H22" s="39">
        <f t="shared" si="5"/>
        <v>3</v>
      </c>
      <c r="I22" s="35">
        <f t="shared" si="5"/>
        <v>4</v>
      </c>
      <c r="J22" s="35">
        <f t="shared" si="5"/>
        <v>4</v>
      </c>
      <c r="K22" s="35">
        <f t="shared" si="5"/>
        <v>5</v>
      </c>
      <c r="L22" s="19"/>
      <c r="M22" s="20">
        <v>1.5</v>
      </c>
      <c r="N22" s="18">
        <f>M22*4.44</f>
        <v>6.66</v>
      </c>
      <c r="O22" s="21">
        <v>7</v>
      </c>
    </row>
    <row r="23" spans="1:15" x14ac:dyDescent="0.25">
      <c r="A23" s="37" t="s">
        <v>16</v>
      </c>
      <c r="B23" s="28" t="s">
        <v>11</v>
      </c>
      <c r="C23" s="32">
        <v>6</v>
      </c>
      <c r="D23" s="32">
        <v>8</v>
      </c>
      <c r="E23" s="32">
        <v>8</v>
      </c>
      <c r="F23" s="32">
        <v>6</v>
      </c>
      <c r="G23" s="32">
        <v>7</v>
      </c>
      <c r="H23" s="32">
        <v>6</v>
      </c>
      <c r="I23" s="32">
        <v>5</v>
      </c>
      <c r="J23" s="32">
        <v>5</v>
      </c>
      <c r="K23" s="32">
        <v>8</v>
      </c>
      <c r="L23" s="16"/>
      <c r="M23" s="17"/>
      <c r="N23" s="18"/>
      <c r="O23" s="13"/>
    </row>
    <row r="24" spans="1:15" x14ac:dyDescent="0.25">
      <c r="A24" s="31"/>
      <c r="B24" s="29" t="s">
        <v>12</v>
      </c>
      <c r="C24" s="33">
        <v>3</v>
      </c>
      <c r="D24" s="33">
        <v>3</v>
      </c>
      <c r="E24" s="33">
        <v>3</v>
      </c>
      <c r="F24" s="33">
        <v>2</v>
      </c>
      <c r="G24" s="33">
        <v>2</v>
      </c>
      <c r="H24" s="33">
        <v>2</v>
      </c>
      <c r="I24" s="33">
        <v>2</v>
      </c>
      <c r="J24" s="33">
        <v>2</v>
      </c>
      <c r="K24" s="34">
        <v>3</v>
      </c>
      <c r="L24" s="16">
        <f>SUM(C24:K24)</f>
        <v>22</v>
      </c>
      <c r="M24" s="17"/>
      <c r="N24" s="18"/>
      <c r="O24" s="13"/>
    </row>
    <row r="25" spans="1:15" ht="15.75" thickBot="1" x14ac:dyDescent="0.3">
      <c r="A25" s="27"/>
      <c r="B25" s="30" t="s">
        <v>13</v>
      </c>
      <c r="C25" s="39">
        <f>C23-C24</f>
        <v>3</v>
      </c>
      <c r="D25" s="35">
        <f t="shared" ref="D25:K25" si="6">D23-D24</f>
        <v>5</v>
      </c>
      <c r="E25" s="35">
        <f t="shared" si="6"/>
        <v>5</v>
      </c>
      <c r="F25" s="35">
        <f t="shared" si="6"/>
        <v>4</v>
      </c>
      <c r="G25" s="35">
        <f t="shared" si="6"/>
        <v>5</v>
      </c>
      <c r="H25" s="35">
        <f t="shared" si="6"/>
        <v>4</v>
      </c>
      <c r="I25" s="35">
        <f t="shared" si="6"/>
        <v>3</v>
      </c>
      <c r="J25" s="39">
        <f t="shared" si="6"/>
        <v>3</v>
      </c>
      <c r="K25" s="35">
        <f t="shared" si="6"/>
        <v>5</v>
      </c>
      <c r="L25" s="19"/>
      <c r="M25" s="20">
        <v>1</v>
      </c>
      <c r="N25" s="18">
        <f>M25*4.44</f>
        <v>4.4400000000000004</v>
      </c>
      <c r="O25" s="21">
        <v>4</v>
      </c>
    </row>
    <row r="26" spans="1:15" x14ac:dyDescent="0.25">
      <c r="A26" s="37" t="s">
        <v>17</v>
      </c>
      <c r="B26" s="28" t="s">
        <v>11</v>
      </c>
      <c r="C26" s="32">
        <v>7</v>
      </c>
      <c r="D26" s="32">
        <v>6</v>
      </c>
      <c r="E26" s="32">
        <v>6</v>
      </c>
      <c r="F26" s="32">
        <v>3</v>
      </c>
      <c r="G26" s="32">
        <v>4</v>
      </c>
      <c r="H26" s="32">
        <v>5</v>
      </c>
      <c r="I26" s="32">
        <v>4</v>
      </c>
      <c r="J26" s="32">
        <v>5</v>
      </c>
      <c r="K26" s="32">
        <v>6</v>
      </c>
      <c r="L26" s="16"/>
      <c r="M26" s="17"/>
      <c r="N26" s="18"/>
      <c r="O26" s="13"/>
    </row>
    <row r="27" spans="1:15" x14ac:dyDescent="0.25">
      <c r="A27" s="31"/>
      <c r="B27" s="29" t="s">
        <v>12</v>
      </c>
      <c r="C27" s="33">
        <v>2</v>
      </c>
      <c r="D27" s="33">
        <v>2</v>
      </c>
      <c r="E27" s="33">
        <v>2</v>
      </c>
      <c r="F27" s="33">
        <v>1</v>
      </c>
      <c r="G27" s="33">
        <v>2</v>
      </c>
      <c r="H27" s="33">
        <v>1</v>
      </c>
      <c r="I27" s="33">
        <v>1</v>
      </c>
      <c r="J27" s="33">
        <v>2</v>
      </c>
      <c r="K27" s="34">
        <v>2</v>
      </c>
      <c r="L27" s="16">
        <f>SUM(C27:K27)</f>
        <v>15</v>
      </c>
      <c r="M27" s="17"/>
      <c r="N27" s="18"/>
      <c r="O27" s="13"/>
    </row>
    <row r="28" spans="1:15" ht="15.75" thickBot="1" x14ac:dyDescent="0.3">
      <c r="A28" s="27"/>
      <c r="B28" s="30" t="s">
        <v>13</v>
      </c>
      <c r="C28" s="35">
        <f>C26-C27</f>
        <v>5</v>
      </c>
      <c r="D28" s="35">
        <f t="shared" ref="D28:K28" si="7">D26-D27</f>
        <v>4</v>
      </c>
      <c r="E28" s="35">
        <f t="shared" si="7"/>
        <v>4</v>
      </c>
      <c r="F28" s="39">
        <f t="shared" si="7"/>
        <v>2</v>
      </c>
      <c r="G28" s="38">
        <f t="shared" si="7"/>
        <v>2</v>
      </c>
      <c r="H28" s="35">
        <f t="shared" si="7"/>
        <v>4</v>
      </c>
      <c r="I28" s="35">
        <f t="shared" si="7"/>
        <v>3</v>
      </c>
      <c r="J28" s="39">
        <f t="shared" si="7"/>
        <v>3</v>
      </c>
      <c r="K28" s="39">
        <f t="shared" si="7"/>
        <v>4</v>
      </c>
      <c r="L28" s="19"/>
      <c r="M28" s="20">
        <v>2</v>
      </c>
      <c r="N28" s="18">
        <f>M28*4.44</f>
        <v>8.8800000000000008</v>
      </c>
      <c r="O28" s="21">
        <v>9</v>
      </c>
    </row>
    <row r="29" spans="1:15" x14ac:dyDescent="0.25">
      <c r="C29" s="23" t="s">
        <v>18</v>
      </c>
      <c r="D29" s="23" t="s">
        <v>26</v>
      </c>
      <c r="E29" s="23" t="s">
        <v>27</v>
      </c>
      <c r="F29" s="23" t="s">
        <v>22</v>
      </c>
      <c r="G29" s="23" t="s">
        <v>28</v>
      </c>
      <c r="H29" s="23" t="s">
        <v>22</v>
      </c>
      <c r="I29" s="23" t="s">
        <v>22</v>
      </c>
      <c r="J29" s="23" t="s">
        <v>21</v>
      </c>
      <c r="K29" s="23" t="s">
        <v>25</v>
      </c>
      <c r="N29" s="46">
        <f>SUM(N10:N28)</f>
        <v>35.520000000000003</v>
      </c>
      <c r="O29" s="46">
        <f>SUM(O5:O28)</f>
        <v>36</v>
      </c>
    </row>
    <row r="30" spans="1:15" x14ac:dyDescent="0.25">
      <c r="C30" s="23" t="s">
        <v>21</v>
      </c>
      <c r="F30" s="23" t="s">
        <v>19</v>
      </c>
      <c r="H30" s="23" t="s">
        <v>23</v>
      </c>
      <c r="I30" s="23" t="s">
        <v>20</v>
      </c>
      <c r="J30" s="23" t="s">
        <v>19</v>
      </c>
    </row>
  </sheetData>
  <mergeCells count="2">
    <mergeCell ref="A1:K1"/>
    <mergeCell ref="L2:L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10 Skins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</dc:creator>
  <cp:lastModifiedBy>Hutter, Mark</cp:lastModifiedBy>
  <cp:lastPrinted>2025-07-03T23:30:01Z</cp:lastPrinted>
  <dcterms:created xsi:type="dcterms:W3CDTF">2025-06-23T20:50:05Z</dcterms:created>
  <dcterms:modified xsi:type="dcterms:W3CDTF">2025-07-14T19:07:15Z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340d3b-fbfb-4e15-bff8-3c144843a4d1_Enabled">
    <vt:lpwstr>true</vt:lpwstr>
  </property>
  <property fmtid="{D5CDD505-2E9C-101B-9397-08002B2CF9AE}" pid="3" name="MSIP_Label_c7340d3b-fbfb-4e15-bff8-3c144843a4d1_SetDate">
    <vt:lpwstr>2025-06-23T20:51:32Z</vt:lpwstr>
  </property>
  <property fmtid="{D5CDD505-2E9C-101B-9397-08002B2CF9AE}" pid="4" name="MSIP_Label_c7340d3b-fbfb-4e15-bff8-3c144843a4d1_Method">
    <vt:lpwstr>Privileged</vt:lpwstr>
  </property>
  <property fmtid="{D5CDD505-2E9C-101B-9397-08002B2CF9AE}" pid="5" name="MSIP_Label_c7340d3b-fbfb-4e15-bff8-3c144843a4d1_Name">
    <vt:lpwstr>Non-Business</vt:lpwstr>
  </property>
  <property fmtid="{D5CDD505-2E9C-101B-9397-08002B2CF9AE}" pid="6" name="MSIP_Label_c7340d3b-fbfb-4e15-bff8-3c144843a4d1_SiteId">
    <vt:lpwstr>c35286b9-d1b3-4008-9a9f-f2005aaaaa30</vt:lpwstr>
  </property>
  <property fmtid="{D5CDD505-2E9C-101B-9397-08002B2CF9AE}" pid="7" name="MSIP_Label_c7340d3b-fbfb-4e15-bff8-3c144843a4d1_ActionId">
    <vt:lpwstr>39cf7f49-255b-46b2-981a-570f0ece6556</vt:lpwstr>
  </property>
  <property fmtid="{D5CDD505-2E9C-101B-9397-08002B2CF9AE}" pid="8" name="MSIP_Label_c7340d3b-fbfb-4e15-bff8-3c144843a4d1_ContentBits">
    <vt:lpwstr>0</vt:lpwstr>
  </property>
</Properties>
</file>