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2E3D547C-1A90-4C44-A9D7-6D8E7D9E75D9}" xr6:coauthVersionLast="47" xr6:coauthVersionMax="47" xr10:uidLastSave="{00000000-0000-0000-0000-000000000000}"/>
  <bookViews>
    <workbookView xWindow="5780" yWindow="2560" windowWidth="29860" windowHeight="16420" activeTab="2" xr2:uid="{00000000-000D-0000-FFFF-FFFF00000000}"/>
  </bookViews>
  <sheets>
    <sheet name="Template" sheetId="14" r:id="rId1"/>
    <sheet name="Point System" sheetId="7" r:id="rId2"/>
    <sheet name="Weekly Stats" sheetId="11" r:id="rId3"/>
    <sheet name="Week 1" sheetId="15" r:id="rId4"/>
    <sheet name="Week 2" sheetId="18" r:id="rId5"/>
    <sheet name="Week 3" sheetId="16" r:id="rId6"/>
    <sheet name="Week 4" sheetId="17" r:id="rId7"/>
    <sheet name="Week 5" sheetId="19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11" l="1"/>
  <c r="R4" i="11"/>
  <c r="R7" i="11"/>
  <c r="R10" i="11"/>
  <c r="S10" i="11" s="1"/>
  <c r="R8" i="11"/>
  <c r="R9" i="11"/>
  <c r="R11" i="11"/>
  <c r="R12" i="11"/>
  <c r="R13" i="11"/>
  <c r="R14" i="11"/>
  <c r="R15" i="11"/>
  <c r="R17" i="11"/>
  <c r="R16" i="11"/>
  <c r="R18" i="11"/>
  <c r="R19" i="11"/>
  <c r="R20" i="11"/>
  <c r="R21" i="11"/>
  <c r="R5" i="11"/>
  <c r="O4" i="11"/>
  <c r="S4" i="11" s="1"/>
  <c r="O6" i="11"/>
  <c r="S6" i="11" s="1"/>
  <c r="O7" i="11"/>
  <c r="O10" i="11"/>
  <c r="O8" i="11"/>
  <c r="O9" i="11"/>
  <c r="O11" i="11"/>
  <c r="O12" i="11"/>
  <c r="O13" i="11"/>
  <c r="O17" i="11"/>
  <c r="O16" i="11"/>
  <c r="O18" i="11"/>
  <c r="O19" i="11"/>
  <c r="O5" i="11"/>
  <c r="N6" i="11"/>
  <c r="N4" i="11"/>
  <c r="N7" i="11"/>
  <c r="N10" i="11"/>
  <c r="N8" i="11"/>
  <c r="N9" i="11"/>
  <c r="N11" i="11"/>
  <c r="N12" i="11"/>
  <c r="N13" i="11"/>
  <c r="N14" i="11"/>
  <c r="N15" i="11"/>
  <c r="N17" i="11"/>
  <c r="N16" i="11"/>
  <c r="N18" i="11"/>
  <c r="N19" i="11"/>
  <c r="N20" i="11"/>
  <c r="N5" i="11"/>
  <c r="L19" i="19"/>
  <c r="N19" i="19" s="1"/>
  <c r="L22" i="11"/>
  <c r="K20" i="19"/>
  <c r="J20" i="19"/>
  <c r="I20" i="19"/>
  <c r="H20" i="19"/>
  <c r="G20" i="19"/>
  <c r="F20" i="19"/>
  <c r="E20" i="19"/>
  <c r="D20" i="19"/>
  <c r="C20" i="19"/>
  <c r="L17" i="19"/>
  <c r="K16" i="19"/>
  <c r="J16" i="19"/>
  <c r="I16" i="19"/>
  <c r="H16" i="19"/>
  <c r="G16" i="19"/>
  <c r="F16" i="19"/>
  <c r="E16" i="19"/>
  <c r="D16" i="19"/>
  <c r="C16" i="19"/>
  <c r="L15" i="19"/>
  <c r="N15" i="19" s="1"/>
  <c r="K14" i="19"/>
  <c r="J14" i="19"/>
  <c r="I14" i="19"/>
  <c r="H14" i="19"/>
  <c r="G14" i="19"/>
  <c r="F14" i="19"/>
  <c r="E14" i="19"/>
  <c r="D14" i="19"/>
  <c r="C14" i="19"/>
  <c r="L13" i="19"/>
  <c r="N13" i="19" s="1"/>
  <c r="L12" i="19"/>
  <c r="O12" i="19" s="1"/>
  <c r="L11" i="19"/>
  <c r="K10" i="19"/>
  <c r="J10" i="19"/>
  <c r="I10" i="19"/>
  <c r="H10" i="19"/>
  <c r="G10" i="19"/>
  <c r="F10" i="19"/>
  <c r="E10" i="19"/>
  <c r="D10" i="19"/>
  <c r="C10" i="19"/>
  <c r="L9" i="19"/>
  <c r="N9" i="19" s="1"/>
  <c r="K8" i="19"/>
  <c r="J8" i="19"/>
  <c r="I8" i="19"/>
  <c r="H8" i="19"/>
  <c r="G8" i="19"/>
  <c r="F8" i="19"/>
  <c r="E8" i="19"/>
  <c r="D8" i="19"/>
  <c r="C8" i="19"/>
  <c r="L7" i="19"/>
  <c r="N7" i="19" s="1"/>
  <c r="L5" i="19"/>
  <c r="S8" i="11"/>
  <c r="K30" i="18"/>
  <c r="J30" i="18"/>
  <c r="I30" i="18"/>
  <c r="H30" i="18"/>
  <c r="G30" i="18"/>
  <c r="F30" i="18"/>
  <c r="E30" i="18"/>
  <c r="D30" i="18"/>
  <c r="C30" i="18"/>
  <c r="L29" i="18"/>
  <c r="N29" i="18" s="1"/>
  <c r="O28" i="18"/>
  <c r="L27" i="18"/>
  <c r="L26" i="18"/>
  <c r="O26" i="18" s="1"/>
  <c r="L25" i="18"/>
  <c r="K24" i="18"/>
  <c r="J24" i="18"/>
  <c r="I24" i="18"/>
  <c r="H24" i="18"/>
  <c r="G24" i="18"/>
  <c r="F24" i="18"/>
  <c r="E24" i="18"/>
  <c r="D24" i="18"/>
  <c r="C24" i="18"/>
  <c r="N23" i="18"/>
  <c r="L23" i="18"/>
  <c r="K22" i="18"/>
  <c r="J22" i="18"/>
  <c r="I22" i="18"/>
  <c r="H22" i="18"/>
  <c r="G22" i="18"/>
  <c r="F22" i="18"/>
  <c r="E22" i="18"/>
  <c r="D22" i="18"/>
  <c r="C22" i="18"/>
  <c r="L21" i="18"/>
  <c r="N21" i="18" s="1"/>
  <c r="K20" i="18"/>
  <c r="J20" i="18"/>
  <c r="I20" i="18"/>
  <c r="H20" i="18"/>
  <c r="G20" i="18"/>
  <c r="F20" i="18"/>
  <c r="E20" i="18"/>
  <c r="D20" i="18"/>
  <c r="C20" i="18"/>
  <c r="L19" i="18"/>
  <c r="N19" i="18" s="1"/>
  <c r="K18" i="18"/>
  <c r="J18" i="18"/>
  <c r="I18" i="18"/>
  <c r="H18" i="18"/>
  <c r="G18" i="18"/>
  <c r="F18" i="18"/>
  <c r="E18" i="18"/>
  <c r="D18" i="18"/>
  <c r="C18" i="18"/>
  <c r="L17" i="18"/>
  <c r="N17" i="18" s="1"/>
  <c r="K16" i="18"/>
  <c r="J16" i="18"/>
  <c r="I16" i="18"/>
  <c r="H16" i="18"/>
  <c r="G16" i="18"/>
  <c r="F16" i="18"/>
  <c r="E16" i="18"/>
  <c r="D16" i="18"/>
  <c r="C16" i="18"/>
  <c r="L15" i="18"/>
  <c r="N15" i="18" s="1"/>
  <c r="K14" i="18"/>
  <c r="J14" i="18"/>
  <c r="I14" i="18"/>
  <c r="H14" i="18"/>
  <c r="G14" i="18"/>
  <c r="F14" i="18"/>
  <c r="E14" i="18"/>
  <c r="D14" i="18"/>
  <c r="C14" i="18"/>
  <c r="L13" i="18"/>
  <c r="N13" i="18" s="1"/>
  <c r="L12" i="18"/>
  <c r="O12" i="18" s="1"/>
  <c r="L11" i="18"/>
  <c r="K10" i="18"/>
  <c r="J10" i="18"/>
  <c r="I10" i="18"/>
  <c r="H10" i="18"/>
  <c r="G10" i="18"/>
  <c r="F10" i="18"/>
  <c r="E10" i="18"/>
  <c r="D10" i="18"/>
  <c r="C10" i="18"/>
  <c r="L9" i="18"/>
  <c r="N9" i="18" s="1"/>
  <c r="K8" i="18"/>
  <c r="J8" i="18"/>
  <c r="I8" i="18"/>
  <c r="H8" i="18"/>
  <c r="G8" i="18"/>
  <c r="F8" i="18"/>
  <c r="E8" i="18"/>
  <c r="D8" i="18"/>
  <c r="C8" i="18"/>
  <c r="L7" i="18"/>
  <c r="N7" i="18" s="1"/>
  <c r="L5" i="18"/>
  <c r="S7" i="11" l="1"/>
  <c r="S11" i="11"/>
  <c r="S12" i="11"/>
  <c r="S13" i="11"/>
  <c r="S9" i="11"/>
  <c r="S5" i="1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J22" i="11"/>
  <c r="L5" i="16"/>
  <c r="L5" i="15"/>
  <c r="F22" i="11"/>
  <c r="L10" i="17" l="1"/>
  <c r="O10" i="17" s="1"/>
  <c r="L8" i="17"/>
  <c r="O8" i="17" s="1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<sst xmlns="http://schemas.openxmlformats.org/spreadsheetml/2006/main" count="184" uniqueCount="90">
  <si>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</si>
  <si>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</si>
  <si>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</si>
  <si>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</si>
  <si>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</si>
  <si>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</si>
  <si>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</si>
  <si>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</si>
  <si>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</si>
  <si>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</si>
  <si>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</si>
  <si>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</si>
  <si>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</si>
  <si>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</si>
  <si>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</si>
  <si>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</si>
  <si>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</si>
  <si>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</si>
  <si>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</si>
  <si>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</si>
  <si>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</si>
  <si>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</si>
  <si>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</si>
  <si>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</si>
  <si>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</si>
  <si>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</si>
  <si>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</si>
  <si>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</si>
  <si>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</si>
  <si>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</si>
  <si>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</si>
  <si>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</si>
  <si>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</si>
  <si>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</si>
  <si>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</si>
  <si>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</si>
  <si>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</si>
  <si>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</si>
  <si>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</si>
  <si>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</si>
  <si>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</si>
  <si>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Rounds Played</t>
  </si>
  <si>
    <t>BLUE</t>
  </si>
  <si>
    <t>Ige, Shayne</t>
  </si>
  <si>
    <t>CTTP Points</t>
  </si>
  <si>
    <t>FIRST HALF (11 Rounds)</t>
  </si>
  <si>
    <t>SECOND HALF (11 Rounds)</t>
  </si>
  <si>
    <t>Shirola, Matthew</t>
  </si>
  <si>
    <t>9-HOLE 
HANDICAP (from 2024)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</si>
  <si>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</si>
  <si>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</si>
  <si>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</si>
  <si>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</si>
  <si>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</si>
  <si>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</si>
  <si>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</si>
  <si>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</si>
  <si>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</si>
  <si>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</si>
  <si>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</si>
  <si>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</si>
  <si>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</si>
  <si>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</si>
  <si>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</si>
  <si>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</si>
  <si>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</si>
  <si>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</si>
  <si>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</si>
  <si>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</si>
  <si>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</si>
  <si>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</si>
  <si>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</si>
  <si>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</si>
  <si>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</si>
  <si>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</si>
  <si>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</si>
  <si>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</si>
  <si>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Morgan, Luke</t>
  </si>
  <si>
    <t>Guinn, Mike</t>
  </si>
  <si>
    <t>Birdie Points</t>
  </si>
  <si>
    <t>WEEK 2</t>
  </si>
  <si>
    <t>RAIN OUT</t>
  </si>
  <si>
    <t>WEEK 3</t>
  </si>
  <si>
    <t>Wise, Randy</t>
  </si>
  <si>
    <t>WEEK 4</t>
  </si>
  <si>
    <t>Closest Both</t>
  </si>
  <si>
    <t>Kandrak, Drew</t>
  </si>
  <si>
    <t>WEEK 5</t>
  </si>
  <si>
    <t>Drew</t>
  </si>
  <si>
    <t>Kandrak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</si>
</sst>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  <font>
      <sz val="22"/>
      <color theme="1"/>
      <name val="Aptos Narrow"/>
      <family val="2"/>
      <scheme val="minor"/>
    </font>
    <font>
      <b/>
      <sz val="11"/>
      <color rgb="FF00B050"/>
      <name val="Aptos Narrow"/>
      <scheme val="minor"/>
    </font>
    <font>
      <sz val="1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19" xfId="1" applyFont="1" applyFill="1" applyBorder="1" applyAlignment="1">
      <alignment horizontal="center" vertical="center"/>
    </xf>
    <xf numFmtId="0" fontId="7" fillId="4" borderId="19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2" xfId="1" applyFont="1" applyBorder="1" applyAlignment="1">
      <alignment vertical="center"/>
    </xf>
    <xf numFmtId="0" fontId="4" fillId="0" borderId="23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7" fillId="3" borderId="22" xfId="1" applyFont="1" applyFill="1" applyBorder="1" applyAlignment="1">
      <alignment vertical="center"/>
    </xf>
    <xf numFmtId="0" fontId="7" fillId="3" borderId="23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6" fillId="4" borderId="28" xfId="1" applyFont="1" applyFill="1" applyBorder="1" applyAlignment="1">
      <alignment vertical="center"/>
    </xf>
    <xf numFmtId="0" fontId="7" fillId="4" borderId="29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vertical="center"/>
    </xf>
    <xf numFmtId="0" fontId="6" fillId="5" borderId="26" xfId="1" applyFont="1" applyFill="1" applyBorder="1" applyAlignment="1">
      <alignment horizontal="center" vertical="center"/>
    </xf>
    <xf numFmtId="0" fontId="7" fillId="5" borderId="26" xfId="1" applyFont="1" applyFill="1" applyBorder="1" applyAlignment="1">
      <alignment horizontal="center" vertical="center"/>
    </xf>
    <xf numFmtId="0" fontId="7" fillId="5" borderId="27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0" fontId="11" fillId="0" borderId="26" xfId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9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1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17" fillId="0" borderId="0" xfId="0" applyFont="1"/>
    <xf numFmtId="1" fontId="0" fillId="0" borderId="9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2" xfId="0" applyNumberForma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  <xf numFmtId="0" fontId="13" fillId="0" borderId="38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2" fontId="8" fillId="0" borderId="31" xfId="0" applyNumberFormat="1" applyFont="1" applyBorder="1" applyAlignment="1">
      <alignment horizontal="center"/>
    </xf>
    <xf numFmtId="2" fontId="8" fillId="0" borderId="41" xfId="0" applyNumberFormat="1" applyFont="1" applyBorder="1" applyAlignment="1">
      <alignment horizontal="center"/>
    </xf>
    <xf numFmtId="2" fontId="8" fillId="0" borderId="43" xfId="0" applyNumberFormat="1" applyFont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0" fillId="0" borderId="39" xfId="0" applyNumberFormat="1" applyBorder="1" applyAlignment="1">
      <alignment horizont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" fillId="0" borderId="0" xfId="1" applyAlignment="1">
      <alignment wrapText="1"/>
    </xf>
    <xf numFmtId="0" fontId="4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4" fillId="0" borderId="0" xfId="1" applyFont="1" applyAlignment="1">
      <alignment horizontal="right" wrapText="1"/>
    </xf>
    <xf numFmtId="0" fontId="7" fillId="0" borderId="0" xfId="1" applyFont="1" applyAlignment="1">
      <alignment horizontal="right" wrapText="1"/>
    </xf>
    <xf numFmtId="0" fontId="7" fillId="3" borderId="22" xfId="1" applyFont="1" applyFill="1" applyBorder="1" applyAlignment="1">
      <alignment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6" fillId="4" borderId="28" xfId="1" applyFont="1" applyFill="1" applyBorder="1" applyAlignment="1">
      <alignment vertical="center" wrapText="1"/>
    </xf>
    <xf numFmtId="0" fontId="6" fillId="4" borderId="19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7" fillId="4" borderId="29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7" fillId="5" borderId="26" xfId="1" applyFont="1" applyFill="1" applyBorder="1" applyAlignment="1">
      <alignment horizontal="center" vertical="center" wrapText="1"/>
    </xf>
    <xf numFmtId="0" fontId="7" fillId="5" borderId="27" xfId="1" applyFont="1" applyFill="1" applyBorder="1" applyAlignment="1">
      <alignment horizontal="center" vertical="center" wrapText="1"/>
    </xf>
    <xf numFmtId="0" fontId="6" fillId="0" borderId="22" xfId="1" applyFont="1" applyBorder="1" applyAlignment="1">
      <alignment vertical="center" wrapText="1"/>
    </xf>
    <xf numFmtId="0" fontId="4" fillId="0" borderId="23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vertical="center" wrapText="1"/>
    </xf>
    <xf numFmtId="0" fontId="4" fillId="0" borderId="26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1" fontId="0" fillId="0" borderId="46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1" fontId="0" fillId="0" borderId="50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21" fillId="7" borderId="17" xfId="0" applyNumberFormat="1" applyFont="1" applyFill="1" applyBorder="1" applyAlignment="1">
      <alignment vertical="center" textRotation="90"/>
    </xf>
    <xf numFmtId="1" fontId="21" fillId="7" borderId="13" xfId="0" applyNumberFormat="1" applyFont="1" applyFill="1" applyBorder="1" applyAlignment="1">
      <alignment vertical="center" textRotation="90"/>
    </xf>
    <xf numFmtId="1" fontId="21" fillId="7" borderId="18" xfId="0" applyNumberFormat="1" applyFont="1" applyFill="1" applyBorder="1" applyAlignment="1">
      <alignment vertical="center" textRotation="90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32" xfId="0" applyNumberFormat="1" applyFont="1" applyBorder="1" applyAlignment="1">
      <alignment horizontal="center" vertical="center"/>
    </xf>
    <xf numFmtId="14" fontId="13" fillId="0" borderId="16" xfId="0" applyNumberFormat="1" applyFont="1" applyBorder="1" applyAlignment="1">
      <alignment horizontal="center"/>
    </xf>
    <xf numFmtId="14" fontId="13" fillId="0" borderId="40" xfId="0" applyNumberFormat="1" applyFont="1" applyBorder="1" applyAlignment="1">
      <alignment horizontal="center"/>
    </xf>
    <xf numFmtId="14" fontId="18" fillId="0" borderId="14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14" fontId="18" fillId="0" borderId="15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1" fontId="21" fillId="7" borderId="17" xfId="0" applyNumberFormat="1" applyFont="1" applyFill="1" applyBorder="1" applyAlignment="1">
      <alignment horizontal="center" vertical="center" textRotation="90"/>
    </xf>
    <xf numFmtId="1" fontId="21" fillId="7" borderId="20" xfId="0" applyNumberFormat="1" applyFont="1" applyFill="1" applyBorder="1" applyAlignment="1">
      <alignment horizontal="center" vertical="center" textRotation="90"/>
    </xf>
    <xf numFmtId="1" fontId="21" fillId="7" borderId="13" xfId="0" applyNumberFormat="1" applyFont="1" applyFill="1" applyBorder="1" applyAlignment="1">
      <alignment horizontal="center" vertical="center" textRotation="90"/>
    </xf>
    <xf numFmtId="1" fontId="21" fillId="7" borderId="1" xfId="0" applyNumberFormat="1" applyFont="1" applyFill="1" applyBorder="1" applyAlignment="1">
      <alignment horizontal="center" vertical="center" textRotation="90"/>
    </xf>
    <xf numFmtId="1" fontId="21" fillId="7" borderId="18" xfId="0" applyNumberFormat="1" applyFont="1" applyFill="1" applyBorder="1" applyAlignment="1">
      <alignment horizontal="center" vertical="center" textRotation="90"/>
    </xf>
    <xf numFmtId="1" fontId="21" fillId="7" borderId="21" xfId="0" applyNumberFormat="1" applyFont="1" applyFill="1" applyBorder="1" applyAlignment="1">
      <alignment horizontal="center" vertical="center" textRotation="90"/>
    </xf>
    <xf numFmtId="14" fontId="12" fillId="0" borderId="33" xfId="0" applyNumberFormat="1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3" fillId="0" borderId="0" xfId="1" applyFont="1" applyAlignment="1">
      <alignment horizontal="center" wrapText="1"/>
    </xf>
    <xf numFmtId="0" fontId="2" fillId="0" borderId="0" xfId="1" applyAlignment="1">
      <alignment wrapText="1"/>
    </xf>
    <xf numFmtId="0" fontId="5" fillId="0" borderId="0" xfId="1" applyFont="1" applyAlignment="1">
      <alignment horizontal="center" wrapText="1"/>
    </xf>
    <xf numFmtId="0" fontId="1" fillId="0" borderId="42" xfId="0" applyFont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C30" sqref="C30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131" t="s">
        <v>14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133" t="s">
        <v>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39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40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37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37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37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37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29</v>
      </c>
    </row>
    <row r="3" spans="1:2" x14ac:dyDescent="0.2">
      <c r="A3" s="9" t="s">
        <v>30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31</v>
      </c>
    </row>
    <row r="18" spans="1:1" ht="14" x14ac:dyDescent="0.15">
      <c r="A18" s="11" t="s">
        <v>32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X26"/>
  <sheetViews>
    <sheetView tabSelected="1" zoomScaleNormal="100" workbookViewId="0">
      <selection activeCell="Q26" sqref="Q26"/>
    </sheetView>
  </sheetViews>
  <sheetFormatPr baseColWidth="10" defaultColWidth="9.1640625" defaultRowHeight="15" x14ac:dyDescent="0.2"/>
  <cols>
    <col min="1" max="1" width="10" customWidth="1"/>
    <col min="2" max="2" width="8" customWidth="1"/>
    <col min="3" max="3" width="11.1640625" customWidth="1"/>
    <col min="4" max="4" width="7.5" hidden="1" customWidth="1"/>
    <col min="5" max="5" width="12.1640625" hidden="1" customWidth="1"/>
    <col min="6" max="6" width="6.83203125" hidden="1" customWidth="1"/>
    <col min="7" max="7" width="1.1640625" hidden="1" customWidth="1"/>
    <col min="8" max="13" width="6.83203125" customWidth="1"/>
    <col min="14" max="15" width="6.6640625" customWidth="1"/>
    <col min="16" max="16" width="6" customWidth="1"/>
    <col min="17" max="17" width="5.6640625" customWidth="1"/>
    <col min="18" max="18" width="6.33203125" customWidth="1"/>
    <col min="19" max="19" width="10.83203125" customWidth="1"/>
    <col min="20" max="20" width="8.5" hidden="1" customWidth="1"/>
    <col min="21" max="22" width="6.83203125" hidden="1" customWidth="1"/>
    <col min="23" max="23" width="8.5" hidden="1" customWidth="1"/>
    <col min="24" max="24" width="10.6640625" hidden="1" customWidth="1"/>
  </cols>
  <sheetData>
    <row r="1" spans="1:24" s="1" customFormat="1" ht="25" customHeight="1" thickBot="1" x14ac:dyDescent="0.25">
      <c r="A1" s="134" t="s">
        <v>11</v>
      </c>
      <c r="B1" s="135"/>
      <c r="C1" s="140" t="s">
        <v>48</v>
      </c>
      <c r="D1" s="142" t="s">
        <v>49</v>
      </c>
      <c r="E1" s="143"/>
      <c r="F1" s="142" t="s">
        <v>80</v>
      </c>
      <c r="G1" s="143"/>
      <c r="H1" s="142" t="s">
        <v>82</v>
      </c>
      <c r="I1" s="143"/>
      <c r="J1" s="142" t="s">
        <v>84</v>
      </c>
      <c r="K1" s="143"/>
      <c r="L1" s="142" t="s">
        <v>87</v>
      </c>
      <c r="M1" s="143"/>
      <c r="N1" s="168" t="s">
        <v>12</v>
      </c>
      <c r="O1" s="157" t="s">
        <v>45</v>
      </c>
      <c r="P1" s="158"/>
      <c r="Q1" s="158"/>
      <c r="R1" s="158"/>
      <c r="S1" s="159"/>
      <c r="T1" s="146" t="s">
        <v>46</v>
      </c>
      <c r="U1" s="147"/>
      <c r="V1" s="147"/>
      <c r="W1" s="147"/>
      <c r="X1" s="148"/>
    </row>
    <row r="2" spans="1:24" s="1" customFormat="1" ht="15.75" customHeight="1" x14ac:dyDescent="0.2">
      <c r="A2" s="136"/>
      <c r="B2" s="137"/>
      <c r="C2" s="141"/>
      <c r="D2" s="144">
        <v>45782</v>
      </c>
      <c r="E2" s="145"/>
      <c r="F2" s="144">
        <v>45789</v>
      </c>
      <c r="G2" s="145"/>
      <c r="H2" s="144">
        <v>45796</v>
      </c>
      <c r="I2" s="145"/>
      <c r="J2" s="144">
        <v>45803</v>
      </c>
      <c r="K2" s="145"/>
      <c r="L2" s="144">
        <v>45810</v>
      </c>
      <c r="M2" s="145"/>
      <c r="N2" s="169"/>
      <c r="O2" s="160" t="s">
        <v>41</v>
      </c>
      <c r="P2" s="162" t="s">
        <v>44</v>
      </c>
      <c r="Q2" s="166" t="s">
        <v>79</v>
      </c>
      <c r="R2" s="160" t="s">
        <v>13</v>
      </c>
      <c r="S2" s="164" t="s">
        <v>33</v>
      </c>
      <c r="T2" s="149" t="s">
        <v>41</v>
      </c>
      <c r="U2" s="149" t="s">
        <v>44</v>
      </c>
      <c r="V2" s="149" t="s">
        <v>79</v>
      </c>
      <c r="W2" s="149" t="s">
        <v>13</v>
      </c>
      <c r="X2" s="149" t="s">
        <v>33</v>
      </c>
    </row>
    <row r="3" spans="1:24" s="1" customFormat="1" ht="15.75" customHeight="1" thickBot="1" x14ac:dyDescent="0.25">
      <c r="A3" s="138"/>
      <c r="B3" s="139"/>
      <c r="C3" s="141"/>
      <c r="D3" s="38" t="s">
        <v>4</v>
      </c>
      <c r="E3" s="75" t="s">
        <v>5</v>
      </c>
      <c r="F3" s="38" t="s">
        <v>4</v>
      </c>
      <c r="G3" s="75" t="s">
        <v>5</v>
      </c>
      <c r="H3" s="38" t="s">
        <v>4</v>
      </c>
      <c r="I3" s="75" t="s">
        <v>5</v>
      </c>
      <c r="J3" s="38" t="s">
        <v>4</v>
      </c>
      <c r="K3" s="75" t="s">
        <v>5</v>
      </c>
      <c r="L3" s="38" t="s">
        <v>4</v>
      </c>
      <c r="M3" s="75" t="s">
        <v>5</v>
      </c>
      <c r="N3" s="169"/>
      <c r="O3" s="161"/>
      <c r="P3" s="163"/>
      <c r="Q3" s="167"/>
      <c r="R3" s="161"/>
      <c r="S3" s="165"/>
      <c r="T3" s="150"/>
      <c r="U3" s="150"/>
      <c r="V3" s="150"/>
      <c r="W3" s="150"/>
      <c r="X3" s="150"/>
    </row>
    <row r="4" spans="1:24" ht="15" customHeight="1" x14ac:dyDescent="0.2">
      <c r="A4" s="39" t="s">
        <v>64</v>
      </c>
      <c r="B4" s="40" t="s">
        <v>65</v>
      </c>
      <c r="C4" s="41">
        <v>22</v>
      </c>
      <c r="D4" s="128"/>
      <c r="E4" s="152"/>
      <c r="F4" s="68">
        <v>53</v>
      </c>
      <c r="G4" s="72">
        <v>23</v>
      </c>
      <c r="H4" s="151" t="s">
        <v>81</v>
      </c>
      <c r="I4" s="152"/>
      <c r="J4" s="68"/>
      <c r="K4" s="72"/>
      <c r="L4" s="68"/>
      <c r="M4" s="72"/>
      <c r="N4" s="121">
        <f>F4+J4+L4</f>
        <v>53</v>
      </c>
      <c r="O4" s="56">
        <f>COUNTIF(D4:L4,"&gt;30")</f>
        <v>1</v>
      </c>
      <c r="P4" s="124"/>
      <c r="Q4" s="72"/>
      <c r="R4" s="60">
        <f>SUMIF(G4:M4, "&lt;30")+P4+Q4</f>
        <v>23</v>
      </c>
      <c r="S4" s="84">
        <f>R4/O4</f>
        <v>23</v>
      </c>
      <c r="T4" s="77"/>
      <c r="U4" s="60"/>
      <c r="V4" s="60"/>
      <c r="W4" s="56"/>
      <c r="X4" s="63" t="s">
        <v>50</v>
      </c>
    </row>
    <row r="5" spans="1:24" ht="15" customHeight="1" x14ac:dyDescent="0.2">
      <c r="A5" s="42" t="s">
        <v>0</v>
      </c>
      <c r="B5" s="43" t="s">
        <v>55</v>
      </c>
      <c r="C5" s="44">
        <v>15</v>
      </c>
      <c r="D5" s="129" t="s">
        <v>81</v>
      </c>
      <c r="E5" s="154"/>
      <c r="F5" s="45">
        <v>42</v>
      </c>
      <c r="G5" s="73">
        <v>27</v>
      </c>
      <c r="H5" s="153"/>
      <c r="I5" s="154"/>
      <c r="J5" s="45"/>
      <c r="K5" s="73"/>
      <c r="L5" s="45">
        <v>54</v>
      </c>
      <c r="M5" s="73">
        <v>15</v>
      </c>
      <c r="N5" s="122">
        <f>F5+J5+L5</f>
        <v>96</v>
      </c>
      <c r="O5" s="58">
        <f>COUNTIF(D5:L5,"&gt;30")</f>
        <v>2</v>
      </c>
      <c r="P5" s="125"/>
      <c r="Q5" s="73"/>
      <c r="R5" s="61">
        <f>SUMIF(G5:M5, "&lt;30")+P5+Q5</f>
        <v>42</v>
      </c>
      <c r="S5" s="85">
        <f>R5/O5</f>
        <v>21</v>
      </c>
      <c r="T5" s="78"/>
      <c r="U5" s="61"/>
      <c r="V5" s="61"/>
      <c r="W5" s="58"/>
      <c r="X5" s="64"/>
    </row>
    <row r="6" spans="1:24" ht="15" customHeight="1" x14ac:dyDescent="0.2">
      <c r="A6" s="42" t="s">
        <v>53</v>
      </c>
      <c r="B6" s="43" t="s">
        <v>54</v>
      </c>
      <c r="C6" s="44">
        <v>13</v>
      </c>
      <c r="D6" s="129"/>
      <c r="E6" s="154"/>
      <c r="F6" s="76">
        <v>42</v>
      </c>
      <c r="G6" s="73">
        <v>25</v>
      </c>
      <c r="H6" s="153"/>
      <c r="I6" s="154"/>
      <c r="J6" s="76"/>
      <c r="K6" s="73"/>
      <c r="L6" s="119">
        <v>51</v>
      </c>
      <c r="M6" s="73">
        <v>16</v>
      </c>
      <c r="N6" s="122">
        <f>F6+J6+L6</f>
        <v>93</v>
      </c>
      <c r="O6" s="58">
        <f>COUNTIF(D6:L6,"&gt;30")</f>
        <v>2</v>
      </c>
      <c r="P6" s="125">
        <v>1</v>
      </c>
      <c r="Q6" s="73"/>
      <c r="R6" s="61">
        <f>SUMIF(G6:M6, "&lt;30")+P6+Q6</f>
        <v>42</v>
      </c>
      <c r="S6" s="85">
        <f>R6/O6</f>
        <v>21</v>
      </c>
      <c r="T6" s="78"/>
      <c r="U6" s="61"/>
      <c r="V6" s="61"/>
      <c r="W6" s="58"/>
      <c r="X6" s="64"/>
    </row>
    <row r="7" spans="1:24" ht="15" customHeight="1" x14ac:dyDescent="0.2">
      <c r="A7" s="42" t="s">
        <v>53</v>
      </c>
      <c r="B7" s="43" t="s">
        <v>1</v>
      </c>
      <c r="C7" s="44">
        <v>8</v>
      </c>
      <c r="D7" s="129"/>
      <c r="E7" s="154"/>
      <c r="F7" s="82">
        <v>45</v>
      </c>
      <c r="G7" s="73">
        <v>17</v>
      </c>
      <c r="H7" s="153"/>
      <c r="I7" s="154"/>
      <c r="J7" s="82"/>
      <c r="K7" s="73"/>
      <c r="L7" s="82">
        <v>43</v>
      </c>
      <c r="M7" s="73">
        <v>19</v>
      </c>
      <c r="N7" s="122">
        <f>F7+J7+L7</f>
        <v>88</v>
      </c>
      <c r="O7" s="58">
        <f>COUNTIF(D7:L7,"&gt;30")</f>
        <v>2</v>
      </c>
      <c r="P7" s="125"/>
      <c r="Q7" s="73">
        <v>2</v>
      </c>
      <c r="R7" s="61">
        <f>SUMIF(G7:M7, "&lt;30")+P7+Q7</f>
        <v>38</v>
      </c>
      <c r="S7" s="85">
        <f>R7/O7</f>
        <v>19</v>
      </c>
      <c r="T7" s="78"/>
      <c r="U7" s="61"/>
      <c r="V7" s="61"/>
      <c r="W7" s="58"/>
      <c r="X7" s="64"/>
    </row>
    <row r="8" spans="1:24" ht="15" customHeight="1" x14ac:dyDescent="0.2">
      <c r="A8" s="42" t="s">
        <v>68</v>
      </c>
      <c r="B8" s="43" t="s">
        <v>55</v>
      </c>
      <c r="C8" s="44">
        <v>22</v>
      </c>
      <c r="D8" s="129"/>
      <c r="E8" s="154"/>
      <c r="F8" s="45">
        <v>59</v>
      </c>
      <c r="G8" s="73">
        <v>17</v>
      </c>
      <c r="H8" s="153"/>
      <c r="I8" s="154"/>
      <c r="J8" s="45"/>
      <c r="K8" s="73"/>
      <c r="L8" s="45"/>
      <c r="M8" s="73"/>
      <c r="N8" s="122">
        <f>F8+J8+L8</f>
        <v>59</v>
      </c>
      <c r="O8" s="58">
        <f>COUNTIF(D8:L8,"&gt;30")</f>
        <v>1</v>
      </c>
      <c r="P8" s="125"/>
      <c r="Q8" s="73"/>
      <c r="R8" s="61">
        <f>SUMIF(G8:M8, "&lt;30")+P8+Q8</f>
        <v>17</v>
      </c>
      <c r="S8" s="85">
        <f>R8/O8</f>
        <v>17</v>
      </c>
      <c r="T8" s="173"/>
      <c r="U8" s="61"/>
      <c r="V8" s="61"/>
      <c r="W8" s="58"/>
      <c r="X8" s="64"/>
    </row>
    <row r="9" spans="1:24" ht="15" customHeight="1" x14ac:dyDescent="0.2">
      <c r="A9" s="42" t="s">
        <v>62</v>
      </c>
      <c r="B9" s="43" t="s">
        <v>63</v>
      </c>
      <c r="C9" s="44">
        <v>15</v>
      </c>
      <c r="D9" s="129"/>
      <c r="E9" s="154"/>
      <c r="F9" s="45"/>
      <c r="G9" s="73"/>
      <c r="H9" s="153"/>
      <c r="I9" s="154"/>
      <c r="J9" s="45">
        <v>52</v>
      </c>
      <c r="K9" s="73">
        <v>17</v>
      </c>
      <c r="L9" s="45"/>
      <c r="M9" s="73"/>
      <c r="N9" s="122">
        <f>F9+J9+L9</f>
        <v>52</v>
      </c>
      <c r="O9" s="58">
        <f>COUNTIF(D9:L9,"&gt;30")</f>
        <v>1</v>
      </c>
      <c r="P9" s="125"/>
      <c r="Q9" s="73"/>
      <c r="R9" s="61">
        <f>SUMIF(G9:M9, "&lt;30")+P9+Q9</f>
        <v>17</v>
      </c>
      <c r="S9" s="85">
        <f>R9/O9</f>
        <v>17</v>
      </c>
      <c r="T9" s="78"/>
      <c r="U9" s="61"/>
      <c r="V9" s="61"/>
      <c r="W9" s="58"/>
      <c r="X9" s="64"/>
    </row>
    <row r="10" spans="1:24" ht="15" customHeight="1" x14ac:dyDescent="0.2">
      <c r="A10" s="42" t="s">
        <v>51</v>
      </c>
      <c r="B10" s="43" t="s">
        <v>52</v>
      </c>
      <c r="C10" s="44">
        <v>21</v>
      </c>
      <c r="D10" s="129"/>
      <c r="E10" s="154"/>
      <c r="F10" s="80">
        <v>61</v>
      </c>
      <c r="G10" s="73">
        <v>14</v>
      </c>
      <c r="H10" s="153"/>
      <c r="I10" s="154"/>
      <c r="J10" s="80">
        <v>56</v>
      </c>
      <c r="K10" s="73">
        <v>19</v>
      </c>
      <c r="L10" s="119">
        <v>60</v>
      </c>
      <c r="M10" s="73">
        <v>15</v>
      </c>
      <c r="N10" s="122">
        <f>F10+J10+L10</f>
        <v>177</v>
      </c>
      <c r="O10" s="58">
        <f>COUNTIF(D10:L10,"&gt;30")</f>
        <v>3</v>
      </c>
      <c r="P10" s="125">
        <v>2</v>
      </c>
      <c r="Q10" s="73"/>
      <c r="R10" s="61">
        <f>SUMIF(G10:M10, "&lt;30")+P10+Q10</f>
        <v>50</v>
      </c>
      <c r="S10" s="85">
        <f>R10/O10</f>
        <v>16.666666666666668</v>
      </c>
      <c r="T10" s="91"/>
      <c r="U10" s="61"/>
      <c r="V10" s="61"/>
      <c r="W10" s="58"/>
      <c r="X10" s="64"/>
    </row>
    <row r="11" spans="1:24" ht="15" customHeight="1" x14ac:dyDescent="0.2">
      <c r="A11" s="42" t="s">
        <v>70</v>
      </c>
      <c r="B11" s="43" t="s">
        <v>71</v>
      </c>
      <c r="C11" s="44">
        <v>18</v>
      </c>
      <c r="D11" s="129"/>
      <c r="E11" s="154"/>
      <c r="F11" s="45">
        <v>56</v>
      </c>
      <c r="G11" s="73">
        <v>16</v>
      </c>
      <c r="H11" s="153"/>
      <c r="I11" s="154"/>
      <c r="J11" s="45"/>
      <c r="K11" s="73"/>
      <c r="L11" s="45"/>
      <c r="M11" s="73"/>
      <c r="N11" s="122">
        <f>F11+J11+L11</f>
        <v>56</v>
      </c>
      <c r="O11" s="58">
        <f>COUNTIF(D11:L11,"&gt;30")</f>
        <v>1</v>
      </c>
      <c r="P11" s="125"/>
      <c r="Q11" s="73"/>
      <c r="R11" s="61">
        <f>SUMIF(G11:M11, "&lt;30")+P11+Q11</f>
        <v>16</v>
      </c>
      <c r="S11" s="85">
        <f>R11/O11</f>
        <v>16</v>
      </c>
      <c r="T11" s="79"/>
      <c r="U11" s="61"/>
      <c r="V11" s="61"/>
      <c r="W11" s="58"/>
      <c r="X11" s="64"/>
    </row>
    <row r="12" spans="1:24" ht="15" customHeight="1" x14ac:dyDescent="0.2">
      <c r="A12" s="42" t="s">
        <v>2</v>
      </c>
      <c r="B12" s="43" t="s">
        <v>69</v>
      </c>
      <c r="C12" s="44">
        <v>8</v>
      </c>
      <c r="D12" s="129"/>
      <c r="E12" s="154"/>
      <c r="F12" s="45">
        <v>46</v>
      </c>
      <c r="G12" s="73">
        <v>16</v>
      </c>
      <c r="H12" s="153"/>
      <c r="I12" s="154"/>
      <c r="J12" s="45"/>
      <c r="K12" s="73"/>
      <c r="L12" s="45"/>
      <c r="M12" s="73"/>
      <c r="N12" s="122">
        <f>F12+J12+L12</f>
        <v>46</v>
      </c>
      <c r="O12" s="58">
        <f>COUNTIF(D12:L12,"&gt;30")</f>
        <v>1</v>
      </c>
      <c r="P12" s="125"/>
      <c r="Q12" s="73"/>
      <c r="R12" s="61">
        <f>SUMIF(G12:M12, "&lt;30")+P12+Q12</f>
        <v>16</v>
      </c>
      <c r="S12" s="85">
        <f>R12/O12</f>
        <v>16</v>
      </c>
      <c r="T12" s="79"/>
      <c r="U12" s="61"/>
      <c r="V12" s="61"/>
      <c r="W12" s="58"/>
      <c r="X12" s="64"/>
    </row>
    <row r="13" spans="1:24" ht="15" customHeight="1" x14ac:dyDescent="0.2">
      <c r="A13" s="42" t="s">
        <v>3</v>
      </c>
      <c r="B13" s="43" t="s">
        <v>65</v>
      </c>
      <c r="C13" s="44">
        <v>17</v>
      </c>
      <c r="D13" s="129"/>
      <c r="E13" s="154"/>
      <c r="F13" s="45">
        <v>55</v>
      </c>
      <c r="G13" s="73">
        <v>16</v>
      </c>
      <c r="H13" s="153"/>
      <c r="I13" s="154"/>
      <c r="J13" s="45"/>
      <c r="K13" s="73"/>
      <c r="L13" s="45">
        <v>56</v>
      </c>
      <c r="M13" s="73">
        <v>15</v>
      </c>
      <c r="N13" s="122">
        <f>F13+J13+L13</f>
        <v>111</v>
      </c>
      <c r="O13" s="58">
        <f>COUNTIF(D13:L13,"&gt;30")</f>
        <v>2</v>
      </c>
      <c r="P13" s="125"/>
      <c r="Q13" s="73"/>
      <c r="R13" s="61">
        <f>SUMIF(G13:M13, "&lt;30")+P13+Q13</f>
        <v>31</v>
      </c>
      <c r="S13" s="85">
        <f>R13/O13</f>
        <v>15.5</v>
      </c>
      <c r="T13" s="79"/>
      <c r="U13" s="61"/>
      <c r="V13" s="61"/>
      <c r="W13" s="58"/>
      <c r="X13" s="64"/>
    </row>
    <row r="14" spans="1:24" ht="15" customHeight="1" x14ac:dyDescent="0.2">
      <c r="A14" s="42" t="s">
        <v>60</v>
      </c>
      <c r="B14" s="43" t="s">
        <v>61</v>
      </c>
      <c r="C14" s="44">
        <v>13</v>
      </c>
      <c r="D14" s="129"/>
      <c r="E14" s="154"/>
      <c r="F14" s="46"/>
      <c r="G14" s="73"/>
      <c r="H14" s="153"/>
      <c r="I14" s="154"/>
      <c r="J14" s="46"/>
      <c r="K14" s="73"/>
      <c r="L14" s="46"/>
      <c r="M14" s="73"/>
      <c r="N14" s="122">
        <f>F14+J14+L14</f>
        <v>0</v>
      </c>
      <c r="O14" s="58"/>
      <c r="P14" s="125"/>
      <c r="Q14" s="73"/>
      <c r="R14" s="61">
        <f>SUMIF(G14:M14, "&lt;30")+P14+Q14</f>
        <v>0</v>
      </c>
      <c r="S14" s="85"/>
      <c r="T14" s="78"/>
      <c r="U14" s="61"/>
      <c r="V14" s="61"/>
      <c r="W14" s="58"/>
      <c r="X14" s="64"/>
    </row>
    <row r="15" spans="1:24" ht="15" customHeight="1" x14ac:dyDescent="0.2">
      <c r="A15" s="42" t="s">
        <v>56</v>
      </c>
      <c r="B15" s="43" t="s">
        <v>57</v>
      </c>
      <c r="C15" s="44">
        <v>2</v>
      </c>
      <c r="D15" s="129"/>
      <c r="E15" s="154"/>
      <c r="F15" s="67"/>
      <c r="G15" s="73"/>
      <c r="H15" s="153"/>
      <c r="I15" s="154"/>
      <c r="J15" s="67"/>
      <c r="K15" s="73"/>
      <c r="L15" s="67"/>
      <c r="M15" s="73"/>
      <c r="N15" s="122">
        <f>F15+J15+L15</f>
        <v>0</v>
      </c>
      <c r="O15" s="58"/>
      <c r="P15" s="125"/>
      <c r="Q15" s="73"/>
      <c r="R15" s="61">
        <f>SUMIF(G15:M15, "&lt;30")+P15+Q15</f>
        <v>0</v>
      </c>
      <c r="S15" s="85"/>
      <c r="T15" s="78"/>
      <c r="U15" s="61"/>
      <c r="V15" s="61"/>
      <c r="W15" s="58"/>
      <c r="X15" s="64"/>
    </row>
    <row r="16" spans="1:24" ht="15" customHeight="1" x14ac:dyDescent="0.2">
      <c r="A16" s="42" t="s">
        <v>58</v>
      </c>
      <c r="B16" s="43" t="s">
        <v>76</v>
      </c>
      <c r="C16" s="44" t="s">
        <v>10</v>
      </c>
      <c r="D16" s="129"/>
      <c r="E16" s="154"/>
      <c r="F16" s="45">
        <v>51</v>
      </c>
      <c r="G16" s="73"/>
      <c r="H16" s="153"/>
      <c r="I16" s="154"/>
      <c r="J16" s="45"/>
      <c r="K16" s="73"/>
      <c r="L16" s="45"/>
      <c r="M16" s="73"/>
      <c r="N16" s="122">
        <f>F16+J16+L16</f>
        <v>51</v>
      </c>
      <c r="O16" s="58">
        <f>COUNTIF(D16:L16,"&gt;30")</f>
        <v>1</v>
      </c>
      <c r="P16" s="125"/>
      <c r="Q16" s="73"/>
      <c r="R16" s="61">
        <f>SUMIF(G16:M16, "&lt;30")+P16+Q16</f>
        <v>0</v>
      </c>
      <c r="S16" s="85"/>
      <c r="T16" s="79"/>
      <c r="U16" s="61"/>
      <c r="V16" s="61"/>
      <c r="W16" s="58"/>
      <c r="X16" s="64"/>
    </row>
    <row r="17" spans="1:24" ht="15" customHeight="1" x14ac:dyDescent="0.2">
      <c r="A17" s="42" t="s">
        <v>88</v>
      </c>
      <c r="B17" s="43" t="s">
        <v>89</v>
      </c>
      <c r="C17" s="44" t="s">
        <v>10</v>
      </c>
      <c r="D17" s="129"/>
      <c r="E17" s="154"/>
      <c r="F17" s="67"/>
      <c r="G17" s="73"/>
      <c r="H17" s="153"/>
      <c r="I17" s="154"/>
      <c r="J17" s="67"/>
      <c r="K17" s="73"/>
      <c r="L17" s="120">
        <v>50</v>
      </c>
      <c r="M17" s="73"/>
      <c r="N17" s="122">
        <f>F17+J17+L17</f>
        <v>50</v>
      </c>
      <c r="O17" s="58">
        <f>COUNTIF(D17:L17,"&gt;30")</f>
        <v>1</v>
      </c>
      <c r="P17" s="125"/>
      <c r="Q17" s="73"/>
      <c r="R17" s="61">
        <f>SUMIF(G17:M17, "&lt;30")+P17+Q17</f>
        <v>0</v>
      </c>
      <c r="S17" s="85"/>
      <c r="T17" s="78"/>
      <c r="U17" s="61"/>
      <c r="V17" s="61"/>
      <c r="W17" s="58"/>
      <c r="X17" s="64"/>
    </row>
    <row r="18" spans="1:24" ht="15" customHeight="1" x14ac:dyDescent="0.2">
      <c r="A18" s="42" t="s">
        <v>74</v>
      </c>
      <c r="B18" s="43" t="s">
        <v>75</v>
      </c>
      <c r="C18" s="44" t="s">
        <v>10</v>
      </c>
      <c r="D18" s="129"/>
      <c r="E18" s="154"/>
      <c r="F18" s="45">
        <v>46</v>
      </c>
      <c r="G18" s="73"/>
      <c r="H18" s="153"/>
      <c r="I18" s="154"/>
      <c r="J18" s="45"/>
      <c r="K18" s="73"/>
      <c r="L18" s="45">
        <v>46</v>
      </c>
      <c r="M18" s="73"/>
      <c r="N18" s="122">
        <f>F18+J18+L18</f>
        <v>92</v>
      </c>
      <c r="O18" s="58">
        <f>COUNTIF(D18:L18,"&gt;30")</f>
        <v>2</v>
      </c>
      <c r="P18" s="126"/>
      <c r="Q18" s="83"/>
      <c r="R18" s="61">
        <f>SUMIF(G18:M18, "&lt;30")+P18+Q18</f>
        <v>0</v>
      </c>
      <c r="S18" s="85"/>
      <c r="T18" s="79"/>
      <c r="U18" s="58"/>
      <c r="V18" s="58"/>
      <c r="W18" s="58"/>
      <c r="X18" s="64"/>
    </row>
    <row r="19" spans="1:24" ht="15" customHeight="1" x14ac:dyDescent="0.2">
      <c r="A19" s="42" t="s">
        <v>72</v>
      </c>
      <c r="B19" s="43" t="s">
        <v>73</v>
      </c>
      <c r="C19" s="44" t="s">
        <v>10</v>
      </c>
      <c r="D19" s="129"/>
      <c r="E19" s="154"/>
      <c r="F19" s="45">
        <v>41</v>
      </c>
      <c r="G19" s="73"/>
      <c r="H19" s="153"/>
      <c r="I19" s="154"/>
      <c r="J19" s="45"/>
      <c r="K19" s="73"/>
      <c r="L19" s="45"/>
      <c r="M19" s="73"/>
      <c r="N19" s="122">
        <f>F19+J19+L19</f>
        <v>41</v>
      </c>
      <c r="O19" s="58">
        <f>COUNTIF(D19:L19,"&gt;30")</f>
        <v>1</v>
      </c>
      <c r="P19" s="125"/>
      <c r="Q19" s="73"/>
      <c r="R19" s="61">
        <f>SUMIF(G19:M19, "&lt;30")+P19+Q19</f>
        <v>0</v>
      </c>
      <c r="S19" s="85"/>
      <c r="T19" s="79"/>
      <c r="U19" s="61"/>
      <c r="V19" s="61"/>
      <c r="W19" s="58"/>
      <c r="X19" s="64"/>
    </row>
    <row r="20" spans="1:24" ht="15" customHeight="1" x14ac:dyDescent="0.2">
      <c r="A20" s="42" t="s">
        <v>66</v>
      </c>
      <c r="B20" s="43" t="s">
        <v>67</v>
      </c>
      <c r="C20" s="44">
        <v>15</v>
      </c>
      <c r="D20" s="129"/>
      <c r="E20" s="154"/>
      <c r="F20" s="45"/>
      <c r="G20" s="73"/>
      <c r="H20" s="153"/>
      <c r="I20" s="154"/>
      <c r="J20" s="45"/>
      <c r="K20" s="73"/>
      <c r="L20" s="45"/>
      <c r="M20" s="73"/>
      <c r="N20" s="122">
        <f>F20+J20+L20</f>
        <v>0</v>
      </c>
      <c r="O20" s="58"/>
      <c r="P20" s="125"/>
      <c r="Q20" s="73"/>
      <c r="R20" s="61">
        <f>SUMIF(G20:M20, "&lt;30")+P20+Q20</f>
        <v>0</v>
      </c>
      <c r="S20" s="85"/>
      <c r="T20" s="79"/>
      <c r="U20" s="61"/>
      <c r="V20" s="61"/>
      <c r="W20" s="58"/>
      <c r="X20" s="64"/>
    </row>
    <row r="21" spans="1:24" ht="15" customHeight="1" thickBot="1" x14ac:dyDescent="0.25">
      <c r="A21" s="69" t="s">
        <v>58</v>
      </c>
      <c r="B21" s="70" t="s">
        <v>59</v>
      </c>
      <c r="C21" s="71">
        <v>11</v>
      </c>
      <c r="D21" s="130"/>
      <c r="E21" s="156"/>
      <c r="F21" s="52"/>
      <c r="G21" s="74"/>
      <c r="H21" s="155"/>
      <c r="I21" s="156"/>
      <c r="J21" s="52"/>
      <c r="K21" s="74"/>
      <c r="L21" s="52"/>
      <c r="M21" s="74"/>
      <c r="N21" s="123"/>
      <c r="O21" s="59"/>
      <c r="P21" s="127"/>
      <c r="Q21" s="74"/>
      <c r="R21" s="62">
        <f>SUMIF(G21:M21, "&lt;30")+P21+Q21</f>
        <v>0</v>
      </c>
      <c r="S21" s="86"/>
      <c r="T21" s="81"/>
      <c r="U21" s="62"/>
      <c r="V21" s="62"/>
      <c r="W21" s="59"/>
      <c r="X21" s="65"/>
    </row>
    <row r="22" spans="1:24" s="51" customFormat="1" ht="16" thickBot="1" x14ac:dyDescent="0.25">
      <c r="A22" s="87"/>
      <c r="B22" s="88"/>
      <c r="C22" s="88"/>
      <c r="D22" s="89"/>
      <c r="E22" s="89"/>
      <c r="F22" s="89">
        <f>AVERAGEIF(F4:F21,"&gt;0")</f>
        <v>49.75</v>
      </c>
      <c r="G22" s="89"/>
      <c r="H22" s="89"/>
      <c r="I22" s="89"/>
      <c r="J22" s="89">
        <f>AVERAGEIF(J4:J21,"&gt;0")</f>
        <v>54</v>
      </c>
      <c r="K22" s="89"/>
      <c r="L22" s="89">
        <f>AVERAGEIF(L4:L21,"&gt;0")</f>
        <v>51.428571428571431</v>
      </c>
      <c r="M22" s="89"/>
      <c r="N22" s="90"/>
    </row>
    <row r="23" spans="1:24" x14ac:dyDescent="0.2">
      <c r="C23" s="48"/>
      <c r="N23" s="49"/>
      <c r="O23" s="49"/>
      <c r="P23" s="47"/>
      <c r="Q23" s="47"/>
      <c r="R23" s="49"/>
      <c r="S23" s="50"/>
    </row>
    <row r="24" spans="1:24" x14ac:dyDescent="0.2">
      <c r="C24" s="92" t="s">
        <v>6</v>
      </c>
      <c r="D24" s="54" t="s">
        <v>8</v>
      </c>
      <c r="F24" s="54"/>
      <c r="H24" s="54"/>
      <c r="J24" s="54"/>
      <c r="L24" s="54"/>
    </row>
    <row r="25" spans="1:24" x14ac:dyDescent="0.2">
      <c r="C25" s="93" t="s">
        <v>7</v>
      </c>
      <c r="D25" s="53" t="s">
        <v>9</v>
      </c>
      <c r="F25" s="53"/>
      <c r="H25" s="53"/>
      <c r="J25" s="53"/>
      <c r="L25" s="53"/>
      <c r="N25" s="66"/>
    </row>
    <row r="26" spans="1:24" x14ac:dyDescent="0.2">
      <c r="C26" s="94" t="s">
        <v>85</v>
      </c>
      <c r="D26" s="55" t="s">
        <v>42</v>
      </c>
      <c r="E26" s="57"/>
      <c r="F26" s="55"/>
      <c r="G26" s="57"/>
      <c r="H26" s="55"/>
      <c r="I26" s="57"/>
      <c r="J26" s="55"/>
      <c r="K26" s="57"/>
      <c r="L26" s="55"/>
      <c r="M26" s="57"/>
    </row>
  </sheetData>
  <sortState xmlns:xlrd2="http://schemas.microsoft.com/office/spreadsheetml/2017/richdata2" ref="A4:X21">
    <sortCondition descending="1" ref="S4:S21"/>
    <sortCondition ref="B4:B21"/>
  </sortState>
  <mergeCells count="27">
    <mergeCell ref="O1:S1"/>
    <mergeCell ref="O2:O3"/>
    <mergeCell ref="P2:P3"/>
    <mergeCell ref="R2:R3"/>
    <mergeCell ref="S2:S3"/>
    <mergeCell ref="Q2:Q3"/>
    <mergeCell ref="N1:N3"/>
    <mergeCell ref="L1:M1"/>
    <mergeCell ref="L2:M2"/>
    <mergeCell ref="H4:I21"/>
    <mergeCell ref="E4:E21"/>
    <mergeCell ref="A1:B3"/>
    <mergeCell ref="C1:C3"/>
    <mergeCell ref="F1:G1"/>
    <mergeCell ref="F2:G2"/>
    <mergeCell ref="T1:X1"/>
    <mergeCell ref="T2:T3"/>
    <mergeCell ref="U2:U3"/>
    <mergeCell ref="W2:W3"/>
    <mergeCell ref="X2:X3"/>
    <mergeCell ref="V2:V3"/>
    <mergeCell ref="J1:K1"/>
    <mergeCell ref="J2:K2"/>
    <mergeCell ref="D1:E1"/>
    <mergeCell ref="D2:E2"/>
    <mergeCell ref="H1:I1"/>
    <mergeCell ref="H2:I2"/>
  </mergeCells>
  <phoneticPr fontId="15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M23" sqref="M23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1" t="s">
        <v>14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3" t="s">
        <v>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workbookViewId="0">
      <pane ySplit="6" topLeftCell="A7" activePane="bottomLeft" state="frozen"/>
      <selection activeCell="G22" sqref="G22"/>
      <selection pane="bottomLeft" activeCell="Q29" sqref="Q29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1" t="s">
        <v>14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3" t="s">
        <v>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4</v>
      </c>
      <c r="F7" s="13">
        <v>4</v>
      </c>
      <c r="G7" s="13">
        <v>4</v>
      </c>
      <c r="H7" s="13">
        <v>5</v>
      </c>
      <c r="I7" s="13">
        <v>3</v>
      </c>
      <c r="J7" s="13">
        <v>4</v>
      </c>
      <c r="K7" s="13">
        <v>6</v>
      </c>
      <c r="L7" s="14">
        <f t="shared" ref="L7:L30" si="0">IF(SUM(C7:K7)&gt;0, SUM(C7:K7),"")</f>
        <v>42</v>
      </c>
      <c r="M7" s="13">
        <v>13</v>
      </c>
      <c r="N7" s="13">
        <f>IF(L7&lt;&gt;"",L7- M7, "")</f>
        <v>29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'[2]Point System'!$A$4:$B$15, 2),"")</f>
        <v>3</v>
      </c>
      <c r="D8" s="17">
        <f>IF(D7&gt;0, VLOOKUP(D7-D$5-(INT($M7/9)+(MOD($M7,9)&gt;=D$6)), '[2]Point System'!$A$4:$B$15, 2),"")</f>
        <v>2</v>
      </c>
      <c r="E8" s="17">
        <f>IF(E7&gt;0, VLOOKUP(E7-E$5-(INT($M7/9)+(MOD($M7,9)&gt;=E$6)), '[2]Point System'!$A$4:$B$15, 2),"")</f>
        <v>4</v>
      </c>
      <c r="F8" s="17">
        <f>IF(F7&gt;0, VLOOKUP(F7-F$5-(INT($M7/9)+(MOD($M7,9)&gt;=F$6)), '[2]Point System'!$A$4:$B$15, 2),"")</f>
        <v>2</v>
      </c>
      <c r="G8" s="17">
        <f>IF(G7&gt;0, VLOOKUP(G7-G$5-(INT($M7/9)+(MOD($M7,9)&gt;=G$6)), '[2]Point System'!$A$4:$B$15, 2),"")</f>
        <v>3</v>
      </c>
      <c r="H8" s="17">
        <f>IF(H7&gt;0, VLOOKUP(H7-H$5-(INT($M7/9)+(MOD($M7,9)&gt;=H$6)), '[2]Point System'!$A$4:$B$15, 2),"")</f>
        <v>2</v>
      </c>
      <c r="I8" s="17">
        <f>IF(I7&gt;0, VLOOKUP(I7-I$5-(INT($M7/9)+(MOD($M7,9)&gt;=I$6)), '[2]Point System'!$A$4:$B$15, 2),"")</f>
        <v>3</v>
      </c>
      <c r="J8" s="17">
        <f>IF(J7&gt;0, VLOOKUP(J7-J$5-(INT($M7/9)+(MOD($M7,9)&gt;=J$6)), '[2]Point System'!$A$4:$B$15, 2),"")</f>
        <v>3</v>
      </c>
      <c r="K8" s="17">
        <f>IF(K7&gt;0, VLOOKUP(K7-K$5-(INT($M7/9)+(MOD($M7,9)&gt;=K$6)), '[2]Point System'!$A$4:$B$15, 2),"")</f>
        <v>3</v>
      </c>
      <c r="L8" s="18">
        <f t="shared" si="0"/>
        <v>25</v>
      </c>
      <c r="M8" s="17"/>
      <c r="N8" s="17"/>
      <c r="O8" s="19">
        <f>IF(L8&lt;&gt;"", L8, "")</f>
        <v>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6</v>
      </c>
      <c r="D9" s="13">
        <v>6</v>
      </c>
      <c r="E9" s="13">
        <v>7</v>
      </c>
      <c r="F9" s="13">
        <v>4</v>
      </c>
      <c r="G9" s="13">
        <v>5</v>
      </c>
      <c r="H9" s="13">
        <v>7</v>
      </c>
      <c r="I9" s="13">
        <v>6</v>
      </c>
      <c r="J9" s="13">
        <v>4</v>
      </c>
      <c r="K9" s="13">
        <v>8</v>
      </c>
      <c r="L9" s="14">
        <f t="shared" si="0"/>
        <v>53</v>
      </c>
      <c r="M9" s="13">
        <v>22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'[2]Point System'!$A$4:$B$15, 2),"")</f>
        <v>3</v>
      </c>
      <c r="D10" s="17">
        <f>IF(D9&gt;0, VLOOKUP(D9-D$5-(INT($M9/9)+(MOD($M9,9)&gt;=D$6)), '[2]Point System'!$A$4:$B$15, 2),"")</f>
        <v>4</v>
      </c>
      <c r="E10" s="17">
        <f>IF(E9&gt;0, VLOOKUP(E9-E$5-(INT($M9/9)+(MOD($M9,9)&gt;=E$6)), '[2]Point System'!$A$4:$B$15, 2),"")</f>
        <v>2</v>
      </c>
      <c r="F10" s="17">
        <f>IF(F9&gt;0, VLOOKUP(F9-F$5-(INT($M9/9)+(MOD($M9,9)&gt;=F$6)), '[2]Point System'!$A$4:$B$15, 2),"")</f>
        <v>3</v>
      </c>
      <c r="G10" s="17">
        <f>IF(G9&gt;0, VLOOKUP(G9-G$5-(INT($M9/9)+(MOD($M9,9)&gt;=G$6)), '[2]Point System'!$A$4:$B$15, 2),"")</f>
        <v>3</v>
      </c>
      <c r="H10" s="17">
        <f>IF(H9&gt;0, VLOOKUP(H9-H$5-(INT($M9/9)+(MOD($M9,9)&gt;=H$6)), '[2]Point System'!$A$4:$B$15, 2),"")</f>
        <v>1</v>
      </c>
      <c r="I10" s="17">
        <f>IF(I9&gt;0, VLOOKUP(I9-I$5-(INT($M9/9)+(MOD($M9,9)&gt;=I$6)), '[2]Point System'!$A$4:$B$15, 2),"")</f>
        <v>1</v>
      </c>
      <c r="J10" s="17">
        <f>IF(J9&gt;0, VLOOKUP(J9-J$5-(INT($M9/9)+(MOD($M9,9)&gt;=J$6)), '[2]Point System'!$A$4:$B$15, 2),"")</f>
        <v>4</v>
      </c>
      <c r="K10" s="17">
        <f>IF(K9&gt;0, VLOOKUP(K9-K$5-(INT($M9/9)+(MOD($M9,9)&gt;=K$6)), '[2]Point System'!$A$4:$B$15, 2),"")</f>
        <v>2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47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4</v>
      </c>
      <c r="I11" s="13">
        <v>3</v>
      </c>
      <c r="J11" s="13">
        <v>4</v>
      </c>
      <c r="K11" s="13">
        <v>5</v>
      </c>
      <c r="L11" s="14">
        <f t="shared" si="0"/>
        <v>41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23</v>
      </c>
      <c r="B13" s="13"/>
      <c r="C13" s="13">
        <v>7</v>
      </c>
      <c r="D13" s="13">
        <v>6</v>
      </c>
      <c r="E13" s="13">
        <v>5</v>
      </c>
      <c r="F13" s="13">
        <v>4</v>
      </c>
      <c r="G13" s="13">
        <v>4</v>
      </c>
      <c r="H13" s="13">
        <v>5</v>
      </c>
      <c r="I13" s="13">
        <v>4</v>
      </c>
      <c r="J13" s="13">
        <v>6</v>
      </c>
      <c r="K13" s="13">
        <v>5</v>
      </c>
      <c r="L13" s="14">
        <f t="shared" si="0"/>
        <v>46</v>
      </c>
      <c r="M13" s="13">
        <v>8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'[2]Point System'!$A$4:$B$15, 2),"")</f>
        <v>0</v>
      </c>
      <c r="D14" s="17">
        <f>IF(D13&gt;0, VLOOKUP(D13-D$5-(INT($M13/9)+(MOD($M13,9)&gt;=D$6)), '[2]Point System'!$A$4:$B$15, 2),"")</f>
        <v>2</v>
      </c>
      <c r="E14" s="17">
        <f>IF(E13&gt;0, VLOOKUP(E13-E$5-(INT($M13/9)+(MOD($M13,9)&gt;=E$6)), '[2]Point System'!$A$4:$B$15, 2),"")</f>
        <v>2</v>
      </c>
      <c r="F14" s="17">
        <f>IF(F13&gt;0, VLOOKUP(F13-F$5-(INT($M13/9)+(MOD($M13,9)&gt;=F$6)), '[2]Point System'!$A$4:$B$15, 2),"")</f>
        <v>1</v>
      </c>
      <c r="G14" s="17">
        <f>IF(G13&gt;0, VLOOKUP(G13-G$5-(INT($M13/9)+(MOD($M13,9)&gt;=G$6)), '[2]Point System'!$A$4:$B$15, 2),"")</f>
        <v>3</v>
      </c>
      <c r="H14" s="17">
        <f>IF(H13&gt;0, VLOOKUP(H13-H$5-(INT($M13/9)+(MOD($M13,9)&gt;=H$6)), '[2]Point System'!$A$4:$B$15, 2),"")</f>
        <v>2</v>
      </c>
      <c r="I14" s="17">
        <f>IF(I13&gt;0, VLOOKUP(I13-I$5-(INT($M13/9)+(MOD($M13,9)&gt;=I$6)), '[2]Point System'!$A$4:$B$15, 2),"")</f>
        <v>2</v>
      </c>
      <c r="J14" s="17">
        <f>IF(J13&gt;0, VLOOKUP(J13-J$5-(INT($M13/9)+(MOD($M13,9)&gt;=J$6)), '[2]Point System'!$A$4:$B$15, 2),"")</f>
        <v>1</v>
      </c>
      <c r="K14" s="17">
        <f>IF(K13&gt;0, VLOOKUP(K13-K$5-(INT($M13/9)+(MOD($M13,9)&gt;=K$6)), '[2]Point System'!$A$4:$B$15, 2),"")</f>
        <v>3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25</v>
      </c>
      <c r="B15" s="13"/>
      <c r="C15" s="13">
        <v>7</v>
      </c>
      <c r="D15" s="13">
        <v>7</v>
      </c>
      <c r="E15" s="13">
        <v>5</v>
      </c>
      <c r="F15" s="13">
        <v>4</v>
      </c>
      <c r="G15" s="13">
        <v>6</v>
      </c>
      <c r="H15" s="13">
        <v>5</v>
      </c>
      <c r="I15" s="13">
        <v>5</v>
      </c>
      <c r="J15" s="13">
        <v>8</v>
      </c>
      <c r="K15" s="13">
        <v>8</v>
      </c>
      <c r="L15" s="14">
        <f t="shared" si="0"/>
        <v>55</v>
      </c>
      <c r="M15" s="13">
        <v>17</v>
      </c>
      <c r="N15" s="13">
        <f>IF(L15&lt;&gt;"",L15- M15, "")</f>
        <v>38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'[2]Point System'!$A$4:$B$15, 2),"")</f>
        <v>1</v>
      </c>
      <c r="D16" s="17">
        <f>IF(D15&gt;0, VLOOKUP(D15-D$5-(INT($M15/9)+(MOD($M15,9)&gt;=D$6)), '[2]Point System'!$A$4:$B$15, 2),"")</f>
        <v>2</v>
      </c>
      <c r="E16" s="17">
        <f>IF(E15&gt;0, VLOOKUP(E15-E$5-(INT($M15/9)+(MOD($M15,9)&gt;=E$6)), '[2]Point System'!$A$4:$B$15, 2),"")</f>
        <v>3</v>
      </c>
      <c r="F16" s="17">
        <f>IF(F15&gt;0, VLOOKUP(F15-F$5-(INT($M15/9)+(MOD($M15,9)&gt;=F$6)), '[2]Point System'!$A$4:$B$15, 2),"")</f>
        <v>2</v>
      </c>
      <c r="G16" s="17">
        <f>IF(G15&gt;0, VLOOKUP(G15-G$5-(INT($M15/9)+(MOD($M15,9)&gt;=G$6)), '[2]Point System'!$A$4:$B$15, 2),"")</f>
        <v>2</v>
      </c>
      <c r="H16" s="17">
        <f>IF(H15&gt;0, VLOOKUP(H15-H$5-(INT($M15/9)+(MOD($M15,9)&gt;=H$6)), '[2]Point System'!$A$4:$B$15, 2),"")</f>
        <v>3</v>
      </c>
      <c r="I16" s="17">
        <f>IF(I15&gt;0, VLOOKUP(I15-I$5-(INT($M15/9)+(MOD($M15,9)&gt;=I$6)), '[2]Point System'!$A$4:$B$15, 2),"")</f>
        <v>2</v>
      </c>
      <c r="J16" s="17">
        <f>IF(J15&gt;0, VLOOKUP(J15-J$5-(INT($M15/9)+(MOD($M15,9)&gt;=J$6)), '[2]Point System'!$A$4:$B$15, 2),"")</f>
        <v>0</v>
      </c>
      <c r="K16" s="17">
        <f>IF(K15&gt;0, VLOOKUP(K15-K$5-(INT($M15/9)+(MOD($M15,9)&gt;=K$6)), '[2]Point System'!$A$4:$B$15, 2),"")</f>
        <v>1</v>
      </c>
      <c r="L16" s="18">
        <f t="shared" si="0"/>
        <v>16</v>
      </c>
      <c r="M16" s="17"/>
      <c r="N16" s="17"/>
      <c r="O16" s="19">
        <f>IF(L16&lt;&gt;"", L16, "")</f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43</v>
      </c>
      <c r="B17" s="13"/>
      <c r="C17" s="13">
        <v>8</v>
      </c>
      <c r="D17" s="13">
        <v>8</v>
      </c>
      <c r="E17" s="13">
        <v>7</v>
      </c>
      <c r="F17" s="13">
        <v>5</v>
      </c>
      <c r="G17" s="13">
        <v>7</v>
      </c>
      <c r="H17" s="13">
        <v>5</v>
      </c>
      <c r="I17" s="13">
        <v>6</v>
      </c>
      <c r="J17" s="13">
        <v>6</v>
      </c>
      <c r="K17" s="13">
        <v>9</v>
      </c>
      <c r="L17" s="14">
        <f t="shared" si="0"/>
        <v>61</v>
      </c>
      <c r="M17" s="13">
        <v>21</v>
      </c>
      <c r="N17" s="13">
        <f>IF(L17&lt;&gt;"",L17- M17, "")</f>
        <v>40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'[2]Point System'!$A$4:$B$15, 2),"")</f>
        <v>0</v>
      </c>
      <c r="D18" s="17">
        <f>IF(D17&gt;0, VLOOKUP(D17-D$5-(INT($M17/9)+(MOD($M17,9)&gt;=D$6)), '[2]Point System'!$A$4:$B$15, 2),"")</f>
        <v>2</v>
      </c>
      <c r="E18" s="17">
        <f>IF(E17&gt;0, VLOOKUP(E17-E$5-(INT($M17/9)+(MOD($M17,9)&gt;=E$6)), '[2]Point System'!$A$4:$B$15, 2),"")</f>
        <v>2</v>
      </c>
      <c r="F18" s="17">
        <f>IF(F17&gt;0, VLOOKUP(F17-F$5-(INT($M17/9)+(MOD($M17,9)&gt;=F$6)), '[2]Point System'!$A$4:$B$15, 2),"")</f>
        <v>2</v>
      </c>
      <c r="G18" s="17">
        <f>IF(G17&gt;0, VLOOKUP(G17-G$5-(INT($M17/9)+(MOD($M17,9)&gt;=G$6)), '[2]Point System'!$A$4:$B$15, 2),"")</f>
        <v>1</v>
      </c>
      <c r="H18" s="17">
        <f>IF(H17&gt;0, VLOOKUP(H17-H$5-(INT($M17/9)+(MOD($M17,9)&gt;=H$6)), '[2]Point System'!$A$4:$B$15, 2),"")</f>
        <v>3</v>
      </c>
      <c r="I18" s="17">
        <f>IF(I17&gt;0, VLOOKUP(I17-I$5-(INT($M17/9)+(MOD($M17,9)&gt;=I$6)), '[2]Point System'!$A$4:$B$15, 2),"")</f>
        <v>1</v>
      </c>
      <c r="J18" s="17">
        <f>IF(J17&gt;0, VLOOKUP(J17-J$5-(INT($M17/9)+(MOD($M17,9)&gt;=J$6)), '[2]Point System'!$A$4:$B$15, 2),"")</f>
        <v>2</v>
      </c>
      <c r="K18" s="17">
        <f>IF(K17&gt;0, VLOOKUP(K17-K$5-(INT($M17/9)+(MOD($M17,9)&gt;=K$6)), '[2]Point System'!$A$4:$B$15, 2),"")</f>
        <v>1</v>
      </c>
      <c r="L18" s="18">
        <f t="shared" si="0"/>
        <v>14</v>
      </c>
      <c r="M18" s="17"/>
      <c r="N18" s="17"/>
      <c r="O18" s="19">
        <f>IF(L18&lt;&gt;"", L18, "")</f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28</v>
      </c>
      <c r="B19" s="13"/>
      <c r="C19" s="13">
        <v>7</v>
      </c>
      <c r="D19" s="13">
        <v>6</v>
      </c>
      <c r="E19" s="13">
        <v>5</v>
      </c>
      <c r="F19" s="13">
        <v>3</v>
      </c>
      <c r="G19" s="13">
        <v>4</v>
      </c>
      <c r="H19" s="13">
        <v>5</v>
      </c>
      <c r="I19" s="13">
        <v>4</v>
      </c>
      <c r="J19" s="13">
        <v>3</v>
      </c>
      <c r="K19" s="13">
        <v>5</v>
      </c>
      <c r="L19" s="14">
        <f t="shared" si="0"/>
        <v>42</v>
      </c>
      <c r="M19" s="13">
        <v>15</v>
      </c>
      <c r="N19" s="13">
        <f>IF(L19&lt;&gt;"",L19- M19, "")</f>
        <v>27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'[2]Point System'!$A$4:$B$15, 2),"")</f>
        <v>1</v>
      </c>
      <c r="D20" s="17">
        <f>IF(D19&gt;0, VLOOKUP(D19-D$5-(INT($M19/9)+(MOD($M19,9)&gt;=D$6)), '[2]Point System'!$A$4:$B$15, 2),"")</f>
        <v>3</v>
      </c>
      <c r="E20" s="17">
        <f>IF(E19&gt;0, VLOOKUP(E19-E$5-(INT($M19/9)+(MOD($M19,9)&gt;=E$6)), '[2]Point System'!$A$4:$B$15, 2),"")</f>
        <v>3</v>
      </c>
      <c r="F20" s="17">
        <f>IF(F19&gt;0, VLOOKUP(F19-F$5-(INT($M19/9)+(MOD($M19,9)&gt;=F$6)), '[2]Point System'!$A$4:$B$15, 2),"")</f>
        <v>3</v>
      </c>
      <c r="G20" s="17">
        <f>IF(G19&gt;0, VLOOKUP(G19-G$5-(INT($M19/9)+(MOD($M19,9)&gt;=G$6)), '[2]Point System'!$A$4:$B$15, 2),"")</f>
        <v>4</v>
      </c>
      <c r="H20" s="17">
        <f>IF(H19&gt;0, VLOOKUP(H19-H$5-(INT($M19/9)+(MOD($M19,9)&gt;=H$6)), '[2]Point System'!$A$4:$B$15, 2),"")</f>
        <v>2</v>
      </c>
      <c r="I20" s="17">
        <f>IF(I19&gt;0, VLOOKUP(I19-I$5-(INT($M19/9)+(MOD($M19,9)&gt;=I$6)), '[2]Point System'!$A$4:$B$15, 2),"")</f>
        <v>2</v>
      </c>
      <c r="J20" s="17">
        <f>IF(J19&gt;0, VLOOKUP(J19-J$5-(INT($M19/9)+(MOD($M19,9)&gt;=J$6)), '[2]Point System'!$A$4:$B$15, 2),"")</f>
        <v>5</v>
      </c>
      <c r="K20" s="17">
        <f>IF(K19&gt;0, VLOOKUP(K19-K$5-(INT($M19/9)+(MOD($M19,9)&gt;=K$6)), '[2]Point System'!$A$4:$B$15, 2),"")</f>
        <v>4</v>
      </c>
      <c r="L20" s="18">
        <f t="shared" si="0"/>
        <v>27</v>
      </c>
      <c r="M20" s="17"/>
      <c r="N20" s="17"/>
      <c r="O20" s="19">
        <f>IF(L20&lt;&gt;"", L20, "")</f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34</v>
      </c>
      <c r="B21" s="13"/>
      <c r="C21" s="13">
        <v>6</v>
      </c>
      <c r="D21" s="13">
        <v>8</v>
      </c>
      <c r="E21" s="13">
        <v>6</v>
      </c>
      <c r="F21" s="13">
        <v>6</v>
      </c>
      <c r="G21" s="13">
        <v>7</v>
      </c>
      <c r="H21" s="13">
        <v>7</v>
      </c>
      <c r="I21" s="13">
        <v>7</v>
      </c>
      <c r="J21" s="13">
        <v>6</v>
      </c>
      <c r="K21" s="13">
        <v>6</v>
      </c>
      <c r="L21" s="14">
        <f t="shared" si="0"/>
        <v>59</v>
      </c>
      <c r="M21" s="13">
        <v>22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1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35</v>
      </c>
      <c r="B23" s="13"/>
      <c r="C23" s="13">
        <v>5</v>
      </c>
      <c r="D23" s="13">
        <v>8</v>
      </c>
      <c r="E23" s="13">
        <v>8</v>
      </c>
      <c r="F23" s="13">
        <v>6</v>
      </c>
      <c r="G23" s="13">
        <v>4</v>
      </c>
      <c r="H23" s="13">
        <v>6</v>
      </c>
      <c r="I23" s="13">
        <v>6</v>
      </c>
      <c r="J23" s="13">
        <v>6</v>
      </c>
      <c r="K23" s="13">
        <v>7</v>
      </c>
      <c r="L23" s="14">
        <f t="shared" ref="L23:L24" si="1">IF(SUM(C23:K23)&gt;0, SUM(C23:K23),"")</f>
        <v>56</v>
      </c>
      <c r="M23" s="13">
        <v>18</v>
      </c>
      <c r="N23" s="13">
        <f>IF(L23&lt;&gt;"",L23- M23, "")</f>
        <v>38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0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1"/>
        <v>16</v>
      </c>
      <c r="M24" s="17"/>
      <c r="N24" s="17"/>
      <c r="O24" s="19">
        <f>IF(L24&lt;&gt;"", L24, "")</f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77</v>
      </c>
      <c r="B25" s="13"/>
      <c r="C25" s="13">
        <v>5</v>
      </c>
      <c r="D25" s="13">
        <v>5</v>
      </c>
      <c r="E25" s="13">
        <v>5</v>
      </c>
      <c r="F25" s="13">
        <v>4</v>
      </c>
      <c r="G25" s="13">
        <v>5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46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 t="shared" si="0"/>
        <v/>
      </c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78</v>
      </c>
      <c r="B27" s="13"/>
      <c r="C27" s="13">
        <v>5</v>
      </c>
      <c r="D27" s="13">
        <v>6</v>
      </c>
      <c r="E27" s="13">
        <v>7</v>
      </c>
      <c r="F27" s="13">
        <v>4</v>
      </c>
      <c r="G27" s="13">
        <v>6</v>
      </c>
      <c r="H27" s="13">
        <v>6</v>
      </c>
      <c r="I27" s="13">
        <v>5</v>
      </c>
      <c r="J27" s="13">
        <v>5</v>
      </c>
      <c r="K27" s="13">
        <v>7</v>
      </c>
      <c r="L27" s="14">
        <f t="shared" si="0"/>
        <v>51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24</v>
      </c>
      <c r="B29" s="13"/>
      <c r="C29" s="13">
        <v>5</v>
      </c>
      <c r="D29" s="13">
        <v>8</v>
      </c>
      <c r="E29" s="13">
        <v>6</v>
      </c>
      <c r="F29" s="13">
        <v>5</v>
      </c>
      <c r="G29" s="13">
        <v>4</v>
      </c>
      <c r="H29" s="13">
        <v>5</v>
      </c>
      <c r="I29" s="13">
        <v>4</v>
      </c>
      <c r="J29" s="13">
        <v>4</v>
      </c>
      <c r="K29" s="13">
        <v>4</v>
      </c>
      <c r="L29" s="14">
        <f t="shared" si="0"/>
        <v>45</v>
      </c>
      <c r="M29" s="13">
        <v>8</v>
      </c>
      <c r="N29" s="13">
        <f>IF(L29&lt;&gt;"",L29- M29, "")</f>
        <v>37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2</v>
      </c>
      <c r="D30" s="17">
        <f>IF(D29&gt;0, VLOOKUP(D29-D$5-(INT($M29/9)+(MOD($M29,9)&gt;=D$6)), '[1]Point System'!$A$4:$B$15, 2),"")</f>
        <v>0</v>
      </c>
      <c r="E30" s="17">
        <f>IF(E29&gt;0, VLOOKUP(E29-E$5-(INT($M29/9)+(MOD($M29,9)&gt;=E$6)), '[1]Point System'!$A$4:$B$15, 2),"")</f>
        <v>1</v>
      </c>
      <c r="F30" s="17">
        <f>IF(F29&gt;0, VLOOKUP(F29-F$5-(INT($M29/9)+(MOD($M29,9)&gt;=F$6)), '[1]Point System'!$A$4:$B$15, 2),"")</f>
        <v>0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4</v>
      </c>
      <c r="L30" s="18">
        <f t="shared" si="0"/>
        <v>17</v>
      </c>
      <c r="M30" s="17"/>
      <c r="N30" s="17"/>
      <c r="O30" s="19">
        <f>IF(L30&lt;&gt;"", L30, "")</f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R28" sqref="R28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1" t="s">
        <v>14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3" t="s">
        <v>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/>
      <c r="D8" s="17"/>
      <c r="E8" s="17"/>
      <c r="F8" s="17"/>
      <c r="G8" s="17"/>
      <c r="H8" s="17"/>
      <c r="I8" s="17"/>
      <c r="J8" s="17"/>
      <c r="K8" s="17"/>
      <c r="L8" s="18"/>
      <c r="M8" s="17"/>
      <c r="N8" s="17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7"/>
      <c r="N12" s="17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7"/>
      <c r="N14" s="17"/>
      <c r="O14" s="1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7"/>
      <c r="N16" s="17"/>
      <c r="O16" s="1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7"/>
      <c r="N18" s="17"/>
      <c r="O18" s="1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M20" s="17"/>
      <c r="N20" s="17"/>
      <c r="O20" s="1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3"/>
      <c r="N21" s="13"/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/>
      <c r="M22" s="17"/>
      <c r="N22" s="17"/>
      <c r="O22" s="1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/>
      <c r="M23" s="13"/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/>
      <c r="M24" s="17"/>
      <c r="N24" s="17"/>
      <c r="O24" s="1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/>
      <c r="M25" s="13"/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/>
      <c r="M27" s="13"/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/>
      <c r="M29" s="13"/>
      <c r="N29" s="13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M30" s="17"/>
      <c r="N30" s="17"/>
      <c r="O30" s="1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L29" sqref="L29"/>
    </sheetView>
  </sheetViews>
  <sheetFormatPr baseColWidth="10" defaultColWidth="14.1640625" defaultRowHeight="14" x14ac:dyDescent="0.15"/>
  <cols>
    <col min="1" max="1" width="14.6640625" style="95" customWidth="1"/>
    <col min="2" max="2" width="9.1640625" style="95" bestFit="1" customWidth="1"/>
    <col min="3" max="11" width="5" style="95" customWidth="1"/>
    <col min="12" max="12" width="5.1640625" style="95" bestFit="1" customWidth="1"/>
    <col min="13" max="13" width="6.1640625" style="95" bestFit="1" customWidth="1"/>
    <col min="14" max="14" width="5" style="95" bestFit="1" customWidth="1"/>
    <col min="15" max="15" width="9.5" style="95" customWidth="1"/>
    <col min="16" max="26" width="8.6640625" style="95" customWidth="1"/>
    <col min="27" max="16384" width="14.1640625" style="95"/>
  </cols>
  <sheetData>
    <row r="1" spans="1:26" ht="17" x14ac:dyDescent="0.3">
      <c r="A1" s="170" t="s">
        <v>14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5" x14ac:dyDescent="0.2">
      <c r="A2" s="172" t="s">
        <v>15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20" thickBot="1" x14ac:dyDescent="0.3">
      <c r="A3" s="97"/>
      <c r="B3" s="96"/>
      <c r="C3" s="98"/>
      <c r="D3" s="98"/>
      <c r="E3" s="98"/>
      <c r="F3" s="98"/>
      <c r="G3" s="98"/>
      <c r="H3" s="98"/>
      <c r="I3" s="98"/>
      <c r="J3" s="98"/>
      <c r="K3" s="98"/>
      <c r="L3" s="99"/>
      <c r="M3" s="98"/>
      <c r="N3" s="98"/>
      <c r="O3" s="99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40" x14ac:dyDescent="0.2">
      <c r="A4" s="100" t="s">
        <v>16</v>
      </c>
      <c r="B4" s="101" t="s">
        <v>17</v>
      </c>
      <c r="C4" s="101">
        <v>1</v>
      </c>
      <c r="D4" s="101">
        <v>2</v>
      </c>
      <c r="E4" s="101">
        <v>3</v>
      </c>
      <c r="F4" s="101">
        <v>4</v>
      </c>
      <c r="G4" s="101">
        <v>5</v>
      </c>
      <c r="H4" s="101">
        <v>6</v>
      </c>
      <c r="I4" s="101">
        <v>7</v>
      </c>
      <c r="J4" s="101">
        <v>8</v>
      </c>
      <c r="K4" s="101">
        <v>9</v>
      </c>
      <c r="L4" s="101" t="s">
        <v>18</v>
      </c>
      <c r="M4" s="101" t="s">
        <v>19</v>
      </c>
      <c r="N4" s="101" t="s">
        <v>20</v>
      </c>
      <c r="O4" s="102" t="s">
        <v>21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9" x14ac:dyDescent="0.2">
      <c r="A5" s="103"/>
      <c r="B5" s="104" t="s">
        <v>22</v>
      </c>
      <c r="C5" s="104">
        <v>4</v>
      </c>
      <c r="D5" s="104">
        <v>5</v>
      </c>
      <c r="E5" s="104">
        <v>4</v>
      </c>
      <c r="F5" s="104">
        <v>3</v>
      </c>
      <c r="G5" s="104">
        <v>4</v>
      </c>
      <c r="H5" s="104">
        <v>4</v>
      </c>
      <c r="I5" s="104">
        <v>3</v>
      </c>
      <c r="J5" s="104">
        <v>4</v>
      </c>
      <c r="K5" s="104">
        <v>5</v>
      </c>
      <c r="L5" s="105">
        <f>SUM(C5:K5)</f>
        <v>36</v>
      </c>
      <c r="M5" s="104"/>
      <c r="N5" s="104"/>
      <c r="O5" s="106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20" thickBot="1" x14ac:dyDescent="0.25">
      <c r="A6" s="107"/>
      <c r="B6" s="108" t="s">
        <v>37</v>
      </c>
      <c r="C6" s="108">
        <v>4</v>
      </c>
      <c r="D6" s="108">
        <v>1</v>
      </c>
      <c r="E6" s="108">
        <v>3</v>
      </c>
      <c r="F6" s="108">
        <v>9</v>
      </c>
      <c r="G6" s="108">
        <v>5</v>
      </c>
      <c r="H6" s="108">
        <v>7</v>
      </c>
      <c r="I6" s="108">
        <v>8</v>
      </c>
      <c r="J6" s="108">
        <v>6</v>
      </c>
      <c r="K6" s="108">
        <v>2</v>
      </c>
      <c r="L6" s="109"/>
      <c r="M6" s="108"/>
      <c r="N6" s="108"/>
      <c r="O6" s="110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9" x14ac:dyDescent="0.2">
      <c r="A7" s="111" t="s">
        <v>43</v>
      </c>
      <c r="B7" s="112" t="s">
        <v>36</v>
      </c>
      <c r="C7" s="112">
        <v>7</v>
      </c>
      <c r="D7" s="112">
        <v>6</v>
      </c>
      <c r="E7" s="112">
        <v>6</v>
      </c>
      <c r="F7" s="112">
        <v>3</v>
      </c>
      <c r="G7" s="112">
        <v>7</v>
      </c>
      <c r="H7" s="112">
        <v>8</v>
      </c>
      <c r="I7" s="112">
        <v>4</v>
      </c>
      <c r="J7" s="112">
        <v>6</v>
      </c>
      <c r="K7" s="112">
        <v>9</v>
      </c>
      <c r="L7" s="113">
        <f t="shared" ref="L7:L10" si="0">IF(SUM(C7:K7)&gt;0, SUM(C7:K7),"")</f>
        <v>56</v>
      </c>
      <c r="M7" s="112">
        <v>21</v>
      </c>
      <c r="N7" s="112">
        <f>IF(L7&lt;&gt;"",L7- M7, "")</f>
        <v>35</v>
      </c>
      <c r="O7" s="11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20" thickBot="1" x14ac:dyDescent="0.25">
      <c r="A8" s="115"/>
      <c r="B8" s="116" t="s">
        <v>38</v>
      </c>
      <c r="C8" s="116">
        <f>IF(C7&gt;0, VLOOKUP(C7-C$5-(INT($M7/9)+(MOD($M7,9)&gt;=C$6)), 'Point System'!$A$4:$B$15, 2),"")</f>
        <v>1</v>
      </c>
      <c r="D8" s="116">
        <f>IF(D7&gt;0, VLOOKUP(D7-D$5-(INT($M7/9)+(MOD($M7,9)&gt;=D$6)), 'Point System'!$A$4:$B$15, 2),"")</f>
        <v>4</v>
      </c>
      <c r="E8" s="116">
        <f>IF(E7&gt;0, VLOOKUP(E7-E$5-(INT($M7/9)+(MOD($M7,9)&gt;=E$6)), 'Point System'!$A$4:$B$15, 2),"")</f>
        <v>3</v>
      </c>
      <c r="F8" s="116">
        <f>IF(F7&gt;0, VLOOKUP(F7-F$5-(INT($M7/9)+(MOD($M7,9)&gt;=F$6)), 'Point System'!$A$4:$B$15, 2),"")</f>
        <v>4</v>
      </c>
      <c r="G8" s="116">
        <f>IF(G7&gt;0, VLOOKUP(G7-G$5-(INT($M7/9)+(MOD($M7,9)&gt;=G$6)), 'Point System'!$A$4:$B$15, 2),"")</f>
        <v>1</v>
      </c>
      <c r="H8" s="116">
        <f>IF(H7&gt;0, VLOOKUP(H7-H$5-(INT($M7/9)+(MOD($M7,9)&gt;=H$6)), 'Point System'!$A$4:$B$15, 2),"")</f>
        <v>0</v>
      </c>
      <c r="I8" s="116">
        <f>IF(I7&gt;0, VLOOKUP(I7-I$5-(INT($M7/9)+(MOD($M7,9)&gt;=I$6)), 'Point System'!$A$4:$B$15, 2),"")</f>
        <v>3</v>
      </c>
      <c r="J8" s="116">
        <f>IF(J7&gt;0, VLOOKUP(J7-J$5-(INT($M7/9)+(MOD($M7,9)&gt;=J$6)), 'Point System'!$A$4:$B$15, 2),"")</f>
        <v>2</v>
      </c>
      <c r="K8" s="116">
        <f>IF(K7&gt;0, VLOOKUP(K7-K$5-(INT($M7/9)+(MOD($M7,9)&gt;=K$6)), 'Point System'!$A$4:$B$15, 2),"")</f>
        <v>1</v>
      </c>
      <c r="L8" s="117">
        <f t="shared" si="0"/>
        <v>19</v>
      </c>
      <c r="M8" s="116"/>
      <c r="N8" s="116"/>
      <c r="O8" s="118">
        <f>IF(L8&lt;&gt;"", L8, "")</f>
        <v>19</v>
      </c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9" x14ac:dyDescent="0.2">
      <c r="A9" s="111" t="s">
        <v>83</v>
      </c>
      <c r="B9" s="112"/>
      <c r="C9" s="112">
        <v>6</v>
      </c>
      <c r="D9" s="112">
        <v>6</v>
      </c>
      <c r="E9" s="112">
        <v>6</v>
      </c>
      <c r="F9" s="112">
        <v>4</v>
      </c>
      <c r="G9" s="112">
        <v>6</v>
      </c>
      <c r="H9" s="112">
        <v>7</v>
      </c>
      <c r="I9" s="112">
        <v>4</v>
      </c>
      <c r="J9" s="112">
        <v>6</v>
      </c>
      <c r="K9" s="112">
        <v>7</v>
      </c>
      <c r="L9" s="113">
        <f t="shared" si="0"/>
        <v>52</v>
      </c>
      <c r="M9" s="112">
        <v>15</v>
      </c>
      <c r="N9" s="112">
        <f>IF(L9&lt;&gt;"",L9- M9, "")</f>
        <v>37</v>
      </c>
      <c r="O9" s="114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20" thickBot="1" x14ac:dyDescent="0.25">
      <c r="A10" s="115"/>
      <c r="B10" s="116"/>
      <c r="C10" s="116">
        <f>IF(C9&gt;0, VLOOKUP(C9-C$5-(INT($M9/9)+(MOD($M9,9)&gt;=C$6)), 'Point System'!$A$4:$B$15, 2),"")</f>
        <v>2</v>
      </c>
      <c r="D10" s="116">
        <f>IF(D9&gt;0, VLOOKUP(D9-D$5-(INT($M9/9)+(MOD($M9,9)&gt;=D$6)), 'Point System'!$A$4:$B$15, 2),"")</f>
        <v>3</v>
      </c>
      <c r="E10" s="116">
        <f>IF(E9&gt;0, VLOOKUP(E9-E$5-(INT($M9/9)+(MOD($M9,9)&gt;=E$6)), 'Point System'!$A$4:$B$15, 2),"")</f>
        <v>2</v>
      </c>
      <c r="F10" s="116">
        <f>IF(F9&gt;0, VLOOKUP(F9-F$5-(INT($M9/9)+(MOD($M9,9)&gt;=F$6)), 'Point System'!$A$4:$B$15, 2),"")</f>
        <v>2</v>
      </c>
      <c r="G10" s="116">
        <f>IF(G9&gt;0, VLOOKUP(G9-G$5-(INT($M9/9)+(MOD($M9,9)&gt;=G$6)), 'Point System'!$A$4:$B$15, 2),"")</f>
        <v>2</v>
      </c>
      <c r="H10" s="116">
        <f>IF(H9&gt;0, VLOOKUP(H9-H$5-(INT($M9/9)+(MOD($M9,9)&gt;=H$6)), 'Point System'!$A$4:$B$15, 2),"")</f>
        <v>0</v>
      </c>
      <c r="I10" s="116">
        <f>IF(I9&gt;0, VLOOKUP(I9-I$5-(INT($M9/9)+(MOD($M9,9)&gt;=I$6)), 'Point System'!$A$4:$B$15, 2),"")</f>
        <v>2</v>
      </c>
      <c r="J10" s="116">
        <f>IF(J9&gt;0, VLOOKUP(J9-J$5-(INT($M9/9)+(MOD($M9,9)&gt;=J$6)), 'Point System'!$A$4:$B$15, 2),"")</f>
        <v>2</v>
      </c>
      <c r="K10" s="116">
        <f>IF(K9&gt;0, VLOOKUP(K9-K$5-(INT($M9/9)+(MOD($M9,9)&gt;=K$6)), 'Point System'!$A$4:$B$15, 2),"")</f>
        <v>2</v>
      </c>
      <c r="L10" s="117">
        <f t="shared" si="0"/>
        <v>17</v>
      </c>
      <c r="M10" s="116"/>
      <c r="N10" s="116"/>
      <c r="O10" s="118">
        <f>IF(L10&lt;&gt;"", L10, "")</f>
        <v>17</v>
      </c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7" activePane="bottomLeft" state="frozen"/>
      <selection activeCell="G22" sqref="G22"/>
      <selection pane="bottomLeft" activeCell="N25" sqref="N25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1" t="s">
        <v>14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3" t="s">
        <v>15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43</v>
      </c>
      <c r="B7" s="13" t="s">
        <v>36</v>
      </c>
      <c r="C7" s="13">
        <v>6</v>
      </c>
      <c r="D7" s="13">
        <v>8</v>
      </c>
      <c r="E7" s="13">
        <v>8</v>
      </c>
      <c r="F7" s="13">
        <v>6</v>
      </c>
      <c r="G7" s="13">
        <v>7</v>
      </c>
      <c r="H7" s="13">
        <v>5</v>
      </c>
      <c r="I7" s="13">
        <v>5</v>
      </c>
      <c r="J7" s="13">
        <v>7</v>
      </c>
      <c r="K7" s="13">
        <v>8</v>
      </c>
      <c r="L7" s="14">
        <f t="shared" ref="L7:L20" si="0">IF(SUM(C7:K7)&gt;0, SUM(C7:K7),"")</f>
        <v>60</v>
      </c>
      <c r="M7" s="13">
        <v>21</v>
      </c>
      <c r="N7" s="13">
        <f>IF(L7&lt;&gt;"",L7- M7, "")</f>
        <v>39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'[2]Point System'!$A$4:$B$15, 2),"")</f>
        <v>2</v>
      </c>
      <c r="D8" s="17">
        <f>IF(D7&gt;0, VLOOKUP(D7-D$5-(INT($M7/9)+(MOD($M7,9)&gt;=D$6)), '[2]Point System'!$A$4:$B$15, 2),"")</f>
        <v>2</v>
      </c>
      <c r="E8" s="17">
        <f>IF(E7&gt;0, VLOOKUP(E7-E$5-(INT($M7/9)+(MOD($M7,9)&gt;=E$6)), '[2]Point System'!$A$4:$B$15, 2),"")</f>
        <v>1</v>
      </c>
      <c r="F8" s="17">
        <f>IF(F7&gt;0, VLOOKUP(F7-F$5-(INT($M7/9)+(MOD($M7,9)&gt;=F$6)), '[2]Point System'!$A$4:$B$15, 2),"")</f>
        <v>1</v>
      </c>
      <c r="G8" s="17">
        <f>IF(G7&gt;0, VLOOKUP(G7-G$5-(INT($M7/9)+(MOD($M7,9)&gt;=G$6)), '[2]Point System'!$A$4:$B$15, 2),"")</f>
        <v>1</v>
      </c>
      <c r="H8" s="17">
        <f>IF(H7&gt;0, VLOOKUP(H7-H$5-(INT($M7/9)+(MOD($M7,9)&gt;=H$6)), '[2]Point System'!$A$4:$B$15, 2),"")</f>
        <v>3</v>
      </c>
      <c r="I8" s="17">
        <f>IF(I7&gt;0, VLOOKUP(I7-I$5-(INT($M7/9)+(MOD($M7,9)&gt;=I$6)), '[2]Point System'!$A$4:$B$15, 2),"")</f>
        <v>2</v>
      </c>
      <c r="J8" s="17">
        <f>IF(J7&gt;0, VLOOKUP(J7-J$5-(INT($M7/9)+(MOD($M7,9)&gt;=J$6)), '[2]Point System'!$A$4:$B$15, 2),"")</f>
        <v>1</v>
      </c>
      <c r="K8" s="17">
        <f>IF(K7&gt;0, VLOOKUP(K7-K$5-(INT($M7/9)+(MOD($M7,9)&gt;=K$6)), '[2]Point System'!$A$4:$B$15, 2),"")</f>
        <v>2</v>
      </c>
      <c r="L8" s="18">
        <f t="shared" si="0"/>
        <v>15</v>
      </c>
      <c r="M8" s="17"/>
      <c r="N8" s="17"/>
      <c r="O8" s="19">
        <f>IF(L8&lt;&gt;"", L8, "")</f>
        <v>15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25</v>
      </c>
      <c r="B9" s="13"/>
      <c r="C9" s="13">
        <v>7</v>
      </c>
      <c r="D9" s="13">
        <v>8</v>
      </c>
      <c r="E9" s="13">
        <v>7</v>
      </c>
      <c r="F9" s="13">
        <v>4</v>
      </c>
      <c r="G9" s="13">
        <v>6</v>
      </c>
      <c r="H9" s="13">
        <v>7</v>
      </c>
      <c r="I9" s="13">
        <v>5</v>
      </c>
      <c r="J9" s="13">
        <v>4</v>
      </c>
      <c r="K9" s="13">
        <v>8</v>
      </c>
      <c r="L9" s="14">
        <f t="shared" si="0"/>
        <v>56</v>
      </c>
      <c r="M9" s="13">
        <v>17</v>
      </c>
      <c r="N9" s="13">
        <f>IF(L9&lt;&gt;"",L9- M9, "")</f>
        <v>39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'[2]Point System'!$A$4:$B$15, 2),"")</f>
        <v>1</v>
      </c>
      <c r="D10" s="17">
        <f>IF(D9&gt;0, VLOOKUP(D9-D$5-(INT($M9/9)+(MOD($M9,9)&gt;=D$6)), '[2]Point System'!$A$4:$B$15, 2),"")</f>
        <v>1</v>
      </c>
      <c r="E10" s="17">
        <f>IF(E9&gt;0, VLOOKUP(E9-E$5-(INT($M9/9)+(MOD($M9,9)&gt;=E$6)), '[2]Point System'!$A$4:$B$15, 2),"")</f>
        <v>1</v>
      </c>
      <c r="F10" s="17">
        <f>IF(F9&gt;0, VLOOKUP(F9-F$5-(INT($M9/9)+(MOD($M9,9)&gt;=F$6)), '[2]Point System'!$A$4:$B$15, 2),"")</f>
        <v>2</v>
      </c>
      <c r="G10" s="17">
        <f>IF(G9&gt;0, VLOOKUP(G9-G$5-(INT($M9/9)+(MOD($M9,9)&gt;=G$6)), '[2]Point System'!$A$4:$B$15, 2),"")</f>
        <v>2</v>
      </c>
      <c r="H10" s="17">
        <f>IF(H9&gt;0, VLOOKUP(H9-H$5-(INT($M9/9)+(MOD($M9,9)&gt;=H$6)), '[2]Point System'!$A$4:$B$15, 2),"")</f>
        <v>1</v>
      </c>
      <c r="I10" s="17">
        <f>IF(I9&gt;0, VLOOKUP(I9-I$5-(INT($M9/9)+(MOD($M9,9)&gt;=I$6)), '[2]Point System'!$A$4:$B$15, 2),"")</f>
        <v>2</v>
      </c>
      <c r="J10" s="17">
        <f>IF(J9&gt;0, VLOOKUP(J9-J$5-(INT($M9/9)+(MOD($M9,9)&gt;=J$6)), '[2]Point System'!$A$4:$B$15, 2),"")</f>
        <v>4</v>
      </c>
      <c r="K10" s="17">
        <f>IF(K9&gt;0, VLOOKUP(K9-K$5-(INT($M9/9)+(MOD($M9,9)&gt;=K$6)), '[2]Point System'!$A$4:$B$15, 2),"")</f>
        <v>1</v>
      </c>
      <c r="L10" s="18">
        <f t="shared" si="0"/>
        <v>15</v>
      </c>
      <c r="M10" s="17"/>
      <c r="N10" s="17"/>
      <c r="O10" s="19">
        <f>IF(L10&lt;&gt;"", L10, "")</f>
        <v>15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86</v>
      </c>
      <c r="B11" s="13"/>
      <c r="C11" s="13">
        <v>6</v>
      </c>
      <c r="D11" s="13">
        <v>6</v>
      </c>
      <c r="E11" s="13">
        <v>5</v>
      </c>
      <c r="F11" s="13">
        <v>4</v>
      </c>
      <c r="G11" s="13">
        <v>6</v>
      </c>
      <c r="H11" s="13">
        <v>5</v>
      </c>
      <c r="I11" s="13">
        <v>5</v>
      </c>
      <c r="J11" s="13">
        <v>5</v>
      </c>
      <c r="K11" s="13">
        <v>8</v>
      </c>
      <c r="L11" s="14">
        <f t="shared" si="0"/>
        <v>50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28</v>
      </c>
      <c r="B13" s="13"/>
      <c r="C13" s="13">
        <v>8</v>
      </c>
      <c r="D13" s="13">
        <v>6</v>
      </c>
      <c r="E13" s="13">
        <v>6</v>
      </c>
      <c r="F13" s="13">
        <v>4</v>
      </c>
      <c r="G13" s="13">
        <v>6</v>
      </c>
      <c r="H13" s="13">
        <v>6</v>
      </c>
      <c r="I13" s="13">
        <v>4</v>
      </c>
      <c r="J13" s="13">
        <v>6</v>
      </c>
      <c r="K13" s="13">
        <v>8</v>
      </c>
      <c r="L13" s="14">
        <f t="shared" si="0"/>
        <v>54</v>
      </c>
      <c r="M13" s="13">
        <v>15</v>
      </c>
      <c r="N13" s="13">
        <f>IF(L13&lt;&gt;"",L13- M13, "")</f>
        <v>39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'[2]Point System'!$A$4:$B$15, 2),"")</f>
        <v>0</v>
      </c>
      <c r="D14" s="17">
        <f>IF(D13&gt;0, VLOOKUP(D13-D$5-(INT($M13/9)+(MOD($M13,9)&gt;=D$6)), '[2]Point System'!$A$4:$B$15, 2),"")</f>
        <v>3</v>
      </c>
      <c r="E14" s="17">
        <f>IF(E13&gt;0, VLOOKUP(E13-E$5-(INT($M13/9)+(MOD($M13,9)&gt;=E$6)), '[2]Point System'!$A$4:$B$15, 2),"")</f>
        <v>2</v>
      </c>
      <c r="F14" s="17">
        <f>IF(F13&gt;0, VLOOKUP(F13-F$5-(INT($M13/9)+(MOD($M13,9)&gt;=F$6)), '[2]Point System'!$A$4:$B$15, 2),"")</f>
        <v>2</v>
      </c>
      <c r="G14" s="17">
        <f>IF(G13&gt;0, VLOOKUP(G13-G$5-(INT($M13/9)+(MOD($M13,9)&gt;=G$6)), '[2]Point System'!$A$4:$B$15, 2),"")</f>
        <v>2</v>
      </c>
      <c r="H14" s="17">
        <f>IF(H13&gt;0, VLOOKUP(H13-H$5-(INT($M13/9)+(MOD($M13,9)&gt;=H$6)), '[2]Point System'!$A$4:$B$15, 2),"")</f>
        <v>1</v>
      </c>
      <c r="I14" s="17">
        <f>IF(I13&gt;0, VLOOKUP(I13-I$5-(INT($M13/9)+(MOD($M13,9)&gt;=I$6)), '[2]Point System'!$A$4:$B$15, 2),"")</f>
        <v>2</v>
      </c>
      <c r="J14" s="17">
        <f>IF(J13&gt;0, VLOOKUP(J13-J$5-(INT($M13/9)+(MOD($M13,9)&gt;=J$6)), '[2]Point System'!$A$4:$B$15, 2),"")</f>
        <v>2</v>
      </c>
      <c r="K14" s="17">
        <f>IF(K13&gt;0, VLOOKUP(K13-K$5-(INT($M13/9)+(MOD($M13,9)&gt;=K$6)), '[2]Point System'!$A$4:$B$15, 2),"")</f>
        <v>1</v>
      </c>
      <c r="L14" s="18">
        <f t="shared" si="0"/>
        <v>15</v>
      </c>
      <c r="M14" s="17"/>
      <c r="N14" s="17"/>
      <c r="O14" s="19">
        <f>IF(L14&lt;&gt;"", L14, "")</f>
        <v>15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24</v>
      </c>
      <c r="B15" s="13"/>
      <c r="C15" s="13">
        <v>4</v>
      </c>
      <c r="D15" s="13">
        <v>6</v>
      </c>
      <c r="E15" s="13">
        <v>5</v>
      </c>
      <c r="F15" s="13">
        <v>3</v>
      </c>
      <c r="G15" s="13">
        <v>5</v>
      </c>
      <c r="H15" s="13">
        <v>7</v>
      </c>
      <c r="I15" s="13">
        <v>3</v>
      </c>
      <c r="J15" s="13">
        <v>6</v>
      </c>
      <c r="K15" s="13">
        <v>4</v>
      </c>
      <c r="L15" s="14">
        <f t="shared" si="0"/>
        <v>43</v>
      </c>
      <c r="M15" s="13">
        <v>8</v>
      </c>
      <c r="N15" s="13">
        <f>IF(L15&lt;&gt;"",L15- M15, "")</f>
        <v>35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'[2]Point System'!$A$4:$B$15, 2),"")</f>
        <v>3</v>
      </c>
      <c r="D16" s="17">
        <f>IF(D15&gt;0, VLOOKUP(D15-D$5-(INT($M15/9)+(MOD($M15,9)&gt;=D$6)), '[2]Point System'!$A$4:$B$15, 2),"")</f>
        <v>2</v>
      </c>
      <c r="E16" s="17">
        <f>IF(E15&gt;0, VLOOKUP(E15-E$5-(INT($M15/9)+(MOD($M15,9)&gt;=E$6)), '[2]Point System'!$A$4:$B$15, 2),"")</f>
        <v>2</v>
      </c>
      <c r="F16" s="17">
        <f>IF(F15&gt;0, VLOOKUP(F15-F$5-(INT($M15/9)+(MOD($M15,9)&gt;=F$6)), '[2]Point System'!$A$4:$B$15, 2),"")</f>
        <v>2</v>
      </c>
      <c r="G16" s="17">
        <f>IF(G15&gt;0, VLOOKUP(G15-G$5-(INT($M15/9)+(MOD($M15,9)&gt;=G$6)), '[2]Point System'!$A$4:$B$15, 2),"")</f>
        <v>2</v>
      </c>
      <c r="H16" s="17">
        <f>IF(H15&gt;0, VLOOKUP(H15-H$5-(INT($M15/9)+(MOD($M15,9)&gt;=H$6)), '[2]Point System'!$A$4:$B$15, 2),"")</f>
        <v>0</v>
      </c>
      <c r="I16" s="17">
        <f>IF(I15&gt;0, VLOOKUP(I15-I$5-(INT($M15/9)+(MOD($M15,9)&gt;=I$6)), '[2]Point System'!$A$4:$B$15, 2),"")</f>
        <v>3</v>
      </c>
      <c r="J16" s="17">
        <f>IF(J15&gt;0, VLOOKUP(J15-J$5-(INT($M15/9)+(MOD($M15,9)&gt;=J$6)), '[2]Point System'!$A$4:$B$15, 2),"")</f>
        <v>1</v>
      </c>
      <c r="K16" s="17">
        <f>IF(K15&gt;0, VLOOKUP(K15-K$5-(INT($M15/9)+(MOD($M15,9)&gt;=K$6)), '[2]Point System'!$A$4:$B$15, 2),"")</f>
        <v>4</v>
      </c>
      <c r="L16" s="18">
        <f t="shared" si="0"/>
        <v>19</v>
      </c>
      <c r="M16" s="17"/>
      <c r="N16" s="17"/>
      <c r="O16" s="19">
        <f>IF(L16&lt;&gt;"", L16, "")</f>
        <v>19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77</v>
      </c>
      <c r="B17" s="13"/>
      <c r="C17" s="13">
        <v>5</v>
      </c>
      <c r="D17" s="13">
        <v>6</v>
      </c>
      <c r="E17" s="13">
        <v>6</v>
      </c>
      <c r="F17" s="13">
        <v>5</v>
      </c>
      <c r="G17" s="13">
        <v>5</v>
      </c>
      <c r="H17" s="13">
        <v>5</v>
      </c>
      <c r="I17" s="13">
        <v>5</v>
      </c>
      <c r="J17" s="13">
        <v>4</v>
      </c>
      <c r="K17" s="13">
        <v>5</v>
      </c>
      <c r="L17" s="14">
        <f t="shared" si="0"/>
        <v>46</v>
      </c>
      <c r="M17" s="13" t="s">
        <v>10</v>
      </c>
      <c r="N17" s="13"/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 t="str">
        <f t="shared" si="0"/>
        <v/>
      </c>
      <c r="M18" s="17"/>
      <c r="N18" s="17"/>
      <c r="O18" s="19" t="str">
        <f>IF(L18&lt;&gt;"", L18, "")</f>
        <v/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26</v>
      </c>
      <c r="B19" s="13"/>
      <c r="C19" s="13">
        <v>5</v>
      </c>
      <c r="D19" s="13">
        <v>7</v>
      </c>
      <c r="E19" s="13">
        <v>5</v>
      </c>
      <c r="F19" s="13">
        <v>4</v>
      </c>
      <c r="G19" s="13">
        <v>7</v>
      </c>
      <c r="H19" s="13">
        <v>6</v>
      </c>
      <c r="I19" s="13">
        <v>4</v>
      </c>
      <c r="J19" s="13">
        <v>5</v>
      </c>
      <c r="K19" s="13">
        <v>8</v>
      </c>
      <c r="L19" s="14">
        <f t="shared" si="0"/>
        <v>51</v>
      </c>
      <c r="M19" s="13">
        <v>13</v>
      </c>
      <c r="N19" s="13">
        <f>IF(L19&lt;&gt;"",L19- M19, "")</f>
        <v>38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'[2]Point System'!$A$4:$B$15, 2),"")</f>
        <v>3</v>
      </c>
      <c r="D20" s="17">
        <f>IF(D19&gt;0, VLOOKUP(D19-D$5-(INT($M19/9)+(MOD($M19,9)&gt;=D$6)), '[2]Point System'!$A$4:$B$15, 2),"")</f>
        <v>2</v>
      </c>
      <c r="E20" s="17">
        <f>IF(E19&gt;0, VLOOKUP(E19-E$5-(INT($M19/9)+(MOD($M19,9)&gt;=E$6)), '[2]Point System'!$A$4:$B$15, 2),"")</f>
        <v>3</v>
      </c>
      <c r="F20" s="17">
        <f>IF(F19&gt;0, VLOOKUP(F19-F$5-(INT($M19/9)+(MOD($M19,9)&gt;=F$6)), '[2]Point System'!$A$4:$B$15, 2),"")</f>
        <v>2</v>
      </c>
      <c r="G20" s="17">
        <f>IF(G19&gt;0, VLOOKUP(G19-G$5-(INT($M19/9)+(MOD($M19,9)&gt;=G$6)), '[2]Point System'!$A$4:$B$15, 2),"")</f>
        <v>0</v>
      </c>
      <c r="H20" s="17">
        <f>IF(H19&gt;0, VLOOKUP(H19-H$5-(INT($M19/9)+(MOD($M19,9)&gt;=H$6)), '[2]Point System'!$A$4:$B$15, 2),"")</f>
        <v>1</v>
      </c>
      <c r="I20" s="17">
        <f>IF(I19&gt;0, VLOOKUP(I19-I$5-(INT($M19/9)+(MOD($M19,9)&gt;=I$6)), '[2]Point System'!$A$4:$B$15, 2),"")</f>
        <v>2</v>
      </c>
      <c r="J20" s="17">
        <f>IF(J19&gt;0, VLOOKUP(J19-J$5-(INT($M19/9)+(MOD($M19,9)&gt;=J$6)), '[2]Point System'!$A$4:$B$15, 2),"")</f>
        <v>2</v>
      </c>
      <c r="K20" s="17">
        <f>IF(K19&gt;0, VLOOKUP(K19-K$5-(INT($M19/9)+(MOD($M19,9)&gt;=K$6)), '[2]Point System'!$A$4:$B$15, 2),"")</f>
        <v>1</v>
      </c>
      <c r="L20" s="18">
        <f t="shared" si="0"/>
        <v>16</v>
      </c>
      <c r="M20" s="17"/>
      <c r="N20" s="17"/>
      <c r="O20" s="19">
        <f>IF(L20&lt;&gt;"", L20, "")</f>
        <v>16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Point System</vt:lpstr>
      <vt:lpstr>Weekly Stats</vt:lpstr>
      <vt:lpstr>Week 1</vt:lpstr>
      <vt:lpstr>Week 2</vt:lpstr>
      <vt:lpstr>Week 3</vt:lpstr>
      <vt:lpstr>Week 4</vt:lpstr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2025-06-05T03:13:48Z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